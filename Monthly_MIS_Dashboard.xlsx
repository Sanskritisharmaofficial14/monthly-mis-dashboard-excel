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₹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22"/>
    </font>
    <font>
      <b val="1"/>
      <sz val="11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1" fillId="2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'Dashboard'!$B$12:$B$20</f>
            </numRef>
          </cat>
          <val>
            <numRef>
              <f>'Dashboard'!$C$12:$C$20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Achievement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'Dashboard'!G11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'Dashboard'!$B$12:$B$20</f>
            </numRef>
          </cat>
          <val>
            <numRef>
              <f>'Dashboard'!$G$12:$G$20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Achievement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ISData" displayName="MISData" ref="A1:I118" headerRowCount="1">
  <autoFilter ref="A1:I118"/>
  <tableColumns count="9">
    <tableColumn id="1" name="Month"/>
    <tableColumn id="2" name="Department"/>
    <tableColumn id="3" name="Employee"/>
    <tableColumn id="4" name="Target"/>
    <tableColumn id="5" name="Actual"/>
    <tableColumn id="6" name="Revenue"/>
    <tableColumn id="7" name="Orders"/>
    <tableColumn id="8" name="Expenses"/>
    <tableColumn id="9" name="Customer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Employee</t>
        </is>
      </c>
      <c r="D1" s="1" t="inlineStr">
        <is>
          <t>Target</t>
        </is>
      </c>
      <c r="E1" s="1" t="inlineStr">
        <is>
          <t>Actual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Expenses</t>
        </is>
      </c>
      <c r="I1" s="1" t="inlineStr">
        <is>
          <t>Customers</t>
        </is>
      </c>
    </row>
    <row r="2">
      <c r="A2" s="2" t="n">
        <v>46023</v>
      </c>
      <c r="B2" t="inlineStr">
        <is>
          <t>Sales</t>
        </is>
      </c>
      <c r="C2" t="inlineStr">
        <is>
          <t>Aarav</t>
        </is>
      </c>
      <c r="D2" t="n">
        <v>301958</v>
      </c>
      <c r="E2" t="n">
        <v>331736</v>
      </c>
      <c r="F2" t="n">
        <v>331736</v>
      </c>
      <c r="G2" t="n">
        <v>32</v>
      </c>
      <c r="H2" t="n">
        <v>217512</v>
      </c>
      <c r="I2" t="n">
        <v>32</v>
      </c>
    </row>
    <row r="3">
      <c r="A3" s="2" t="n">
        <v>46023</v>
      </c>
      <c r="B3" t="inlineStr">
        <is>
          <t>Sales</t>
        </is>
      </c>
      <c r="C3" t="inlineStr">
        <is>
          <t>Meera</t>
        </is>
      </c>
      <c r="D3" t="n">
        <v>234886</v>
      </c>
      <c r="E3" t="n">
        <v>225099</v>
      </c>
      <c r="F3" t="n">
        <v>225099</v>
      </c>
      <c r="G3" t="n">
        <v>40</v>
      </c>
      <c r="H3" t="n">
        <v>111185</v>
      </c>
      <c r="I3" t="n">
        <v>35</v>
      </c>
    </row>
    <row r="4">
      <c r="A4" s="2" t="n">
        <v>46023</v>
      </c>
      <c r="B4" t="inlineStr">
        <is>
          <t>Sales</t>
        </is>
      </c>
      <c r="C4" t="inlineStr">
        <is>
          <t>Rohan</t>
        </is>
      </c>
      <c r="D4" t="n">
        <v>306324</v>
      </c>
      <c r="E4" t="n">
        <v>312587</v>
      </c>
      <c r="F4" t="n">
        <v>312587</v>
      </c>
      <c r="G4" t="n">
        <v>41</v>
      </c>
      <c r="H4" t="n">
        <v>198871</v>
      </c>
      <c r="I4" t="n">
        <v>13</v>
      </c>
    </row>
    <row r="5">
      <c r="A5" s="2" t="n">
        <v>46023</v>
      </c>
      <c r="B5" t="inlineStr">
        <is>
          <t>Sales</t>
        </is>
      </c>
      <c r="C5" t="inlineStr">
        <is>
          <t>Priya</t>
        </is>
      </c>
      <c r="D5" t="n">
        <v>239735</v>
      </c>
      <c r="E5" t="n">
        <v>266819</v>
      </c>
      <c r="F5" t="n">
        <v>266819</v>
      </c>
      <c r="G5" t="n">
        <v>55</v>
      </c>
      <c r="H5" t="n">
        <v>128122</v>
      </c>
      <c r="I5" t="n">
        <v>32</v>
      </c>
    </row>
    <row r="6">
      <c r="A6" s="2" t="n">
        <v>46023</v>
      </c>
      <c r="B6" t="inlineStr">
        <is>
          <t>Procurement</t>
        </is>
      </c>
      <c r="C6" t="inlineStr">
        <is>
          <t>Ananya</t>
        </is>
      </c>
      <c r="D6" t="n">
        <v>394176</v>
      </c>
      <c r="E6" t="n">
        <v>355427</v>
      </c>
      <c r="F6" t="n">
        <v>199004</v>
      </c>
      <c r="G6" t="n">
        <v>61</v>
      </c>
      <c r="H6" t="n">
        <v>96623</v>
      </c>
      <c r="I6" t="n">
        <v>38</v>
      </c>
    </row>
    <row r="7">
      <c r="A7" s="2" t="n">
        <v>46023</v>
      </c>
      <c r="B7" t="inlineStr">
        <is>
          <t>Procurement</t>
        </is>
      </c>
      <c r="C7" t="inlineStr">
        <is>
          <t>Karan</t>
        </is>
      </c>
      <c r="D7" t="n">
        <v>336730</v>
      </c>
      <c r="E7" t="n">
        <v>316507</v>
      </c>
      <c r="F7" t="n">
        <v>116685</v>
      </c>
      <c r="G7" t="n">
        <v>33</v>
      </c>
      <c r="H7" t="n">
        <v>62527</v>
      </c>
      <c r="I7" t="n">
        <v>14</v>
      </c>
    </row>
    <row r="8">
      <c r="A8" s="2" t="n">
        <v>46023</v>
      </c>
      <c r="B8" t="inlineStr">
        <is>
          <t>Procurement</t>
        </is>
      </c>
      <c r="C8" t="inlineStr">
        <is>
          <t>Neha</t>
        </is>
      </c>
      <c r="D8" t="n">
        <v>249092</v>
      </c>
      <c r="E8" t="n">
        <v>254825</v>
      </c>
      <c r="F8" t="n">
        <v>106570</v>
      </c>
      <c r="G8" t="n">
        <v>56</v>
      </c>
      <c r="H8" t="n">
        <v>51492</v>
      </c>
      <c r="I8" t="n">
        <v>36</v>
      </c>
    </row>
    <row r="9">
      <c r="A9" s="2" t="n">
        <v>46023</v>
      </c>
      <c r="B9" t="inlineStr">
        <is>
          <t>Operations</t>
        </is>
      </c>
      <c r="C9" t="inlineStr">
        <is>
          <t>Vivek</t>
        </is>
      </c>
      <c r="D9" t="n">
        <v>419931</v>
      </c>
      <c r="E9" t="n">
        <v>422163</v>
      </c>
      <c r="F9" t="n">
        <v>212840</v>
      </c>
      <c r="G9" t="n">
        <v>43</v>
      </c>
      <c r="H9" t="n">
        <v>107152</v>
      </c>
      <c r="I9" t="n">
        <v>31</v>
      </c>
    </row>
    <row r="10">
      <c r="A10" s="2" t="n">
        <v>46023</v>
      </c>
      <c r="B10" t="inlineStr">
        <is>
          <t>Operations</t>
        </is>
      </c>
      <c r="C10" t="inlineStr">
        <is>
          <t>Ishita</t>
        </is>
      </c>
      <c r="D10" t="n">
        <v>300174</v>
      </c>
      <c r="E10" t="n">
        <v>316174</v>
      </c>
      <c r="F10" t="n">
        <v>187806</v>
      </c>
      <c r="G10" t="n">
        <v>25</v>
      </c>
      <c r="H10" t="n">
        <v>91696</v>
      </c>
      <c r="I10" t="n">
        <v>25</v>
      </c>
    </row>
    <row r="11">
      <c r="A11" s="2" t="n">
        <v>46023</v>
      </c>
      <c r="B11" t="inlineStr">
        <is>
          <t>Operations</t>
        </is>
      </c>
      <c r="C11" t="inlineStr">
        <is>
          <t>Rahul</t>
        </is>
      </c>
      <c r="D11" t="n">
        <v>215920</v>
      </c>
      <c r="E11" t="n">
        <v>190767</v>
      </c>
      <c r="F11" t="n">
        <v>117323</v>
      </c>
      <c r="G11" t="n">
        <v>19</v>
      </c>
      <c r="H11" t="n">
        <v>68286</v>
      </c>
      <c r="I11" t="n">
        <v>15</v>
      </c>
    </row>
    <row r="12">
      <c r="A12" s="2" t="n">
        <v>46023</v>
      </c>
      <c r="B12" t="inlineStr">
        <is>
          <t>Service</t>
        </is>
      </c>
      <c r="C12" t="inlineStr">
        <is>
          <t>Aditya</t>
        </is>
      </c>
      <c r="D12" t="n">
        <v>351829</v>
      </c>
      <c r="E12" t="n">
        <v>278833</v>
      </c>
      <c r="F12" t="n">
        <v>191534</v>
      </c>
      <c r="G12" t="n">
        <v>61</v>
      </c>
      <c r="H12" t="n">
        <v>135123</v>
      </c>
      <c r="I12" t="n">
        <v>47</v>
      </c>
    </row>
    <row r="13">
      <c r="A13" s="2" t="n">
        <v>46023</v>
      </c>
      <c r="B13" t="inlineStr">
        <is>
          <t>Service</t>
        </is>
      </c>
      <c r="C13" t="inlineStr">
        <is>
          <t>Kavya</t>
        </is>
      </c>
      <c r="D13" t="n">
        <v>343678</v>
      </c>
      <c r="E13" t="n">
        <v>394799</v>
      </c>
      <c r="F13" t="n">
        <v>152154</v>
      </c>
      <c r="G13" t="n">
        <v>40</v>
      </c>
      <c r="H13" t="n">
        <v>92053</v>
      </c>
      <c r="I13" t="n">
        <v>32</v>
      </c>
    </row>
    <row r="14">
      <c r="A14" s="2" t="n">
        <v>46023</v>
      </c>
      <c r="B14" t="inlineStr">
        <is>
          <t>Service</t>
        </is>
      </c>
      <c r="C14" t="inlineStr">
        <is>
          <t>Nikhil</t>
        </is>
      </c>
      <c r="D14" t="n">
        <v>203247</v>
      </c>
      <c r="E14" t="n">
        <v>219288</v>
      </c>
      <c r="F14" t="n">
        <v>124090</v>
      </c>
      <c r="G14" t="n">
        <v>41</v>
      </c>
      <c r="H14" t="n">
        <v>70187</v>
      </c>
      <c r="I14" t="n">
        <v>40</v>
      </c>
    </row>
    <row r="15">
      <c r="A15" s="2" t="n">
        <v>46054</v>
      </c>
      <c r="B15" t="inlineStr">
        <is>
          <t>Sales</t>
        </is>
      </c>
      <c r="C15" t="inlineStr">
        <is>
          <t>Aarav</t>
        </is>
      </c>
      <c r="D15" t="n">
        <v>231214</v>
      </c>
      <c r="E15" t="n">
        <v>195631</v>
      </c>
      <c r="F15" t="n">
        <v>195631</v>
      </c>
      <c r="G15" t="n">
        <v>42</v>
      </c>
      <c r="H15" t="n">
        <v>140238</v>
      </c>
      <c r="I15" t="n">
        <v>35</v>
      </c>
    </row>
    <row r="16">
      <c r="A16" s="2" t="n">
        <v>46054</v>
      </c>
      <c r="B16" t="inlineStr">
        <is>
          <t>Sales</t>
        </is>
      </c>
      <c r="C16" t="inlineStr">
        <is>
          <t>Meera</t>
        </is>
      </c>
      <c r="D16" t="n">
        <v>373664</v>
      </c>
      <c r="E16" t="n">
        <v>321159</v>
      </c>
      <c r="F16" t="n">
        <v>321159</v>
      </c>
      <c r="G16" t="n">
        <v>41</v>
      </c>
      <c r="H16" t="n">
        <v>155241</v>
      </c>
      <c r="I16" t="n">
        <v>28</v>
      </c>
    </row>
    <row r="17">
      <c r="A17" s="2" t="n">
        <v>46054</v>
      </c>
      <c r="B17" t="inlineStr">
        <is>
          <t>Sales</t>
        </is>
      </c>
      <c r="C17" t="inlineStr">
        <is>
          <t>Rohan</t>
        </is>
      </c>
      <c r="D17" t="n">
        <v>344231</v>
      </c>
      <c r="E17" t="n">
        <v>368878</v>
      </c>
      <c r="F17" t="n">
        <v>368878</v>
      </c>
      <c r="G17" t="n">
        <v>50</v>
      </c>
      <c r="H17" t="n">
        <v>230707</v>
      </c>
      <c r="I17" t="n">
        <v>39</v>
      </c>
    </row>
    <row r="18">
      <c r="A18" s="2" t="n">
        <v>46054</v>
      </c>
      <c r="B18" t="inlineStr">
        <is>
          <t>Sales</t>
        </is>
      </c>
      <c r="C18" t="inlineStr">
        <is>
          <t>Priya</t>
        </is>
      </c>
      <c r="D18" t="n">
        <v>202662</v>
      </c>
      <c r="E18" t="n">
        <v>226984</v>
      </c>
      <c r="F18" t="n">
        <v>226984</v>
      </c>
      <c r="G18" t="n">
        <v>29</v>
      </c>
      <c r="H18" t="n">
        <v>126978</v>
      </c>
      <c r="I18" t="n">
        <v>34</v>
      </c>
    </row>
    <row r="19">
      <c r="A19" s="2" t="n">
        <v>46054</v>
      </c>
      <c r="B19" t="inlineStr">
        <is>
          <t>Procurement</t>
        </is>
      </c>
      <c r="C19" t="inlineStr">
        <is>
          <t>Ananya</t>
        </is>
      </c>
      <c r="D19" t="n">
        <v>257373</v>
      </c>
      <c r="E19" t="n">
        <v>234228</v>
      </c>
      <c r="F19" t="n">
        <v>150337</v>
      </c>
      <c r="G19" t="n">
        <v>57</v>
      </c>
      <c r="H19" t="n">
        <v>82073</v>
      </c>
      <c r="I19" t="n">
        <v>46</v>
      </c>
    </row>
    <row r="20">
      <c r="A20" s="2" t="n">
        <v>46054</v>
      </c>
      <c r="B20" t="inlineStr">
        <is>
          <t>Procurement</t>
        </is>
      </c>
      <c r="C20" t="inlineStr">
        <is>
          <t>Karan</t>
        </is>
      </c>
      <c r="D20" t="n">
        <v>381664</v>
      </c>
      <c r="E20" t="n">
        <v>356157</v>
      </c>
      <c r="F20" t="n">
        <v>263087</v>
      </c>
      <c r="G20" t="n">
        <v>20</v>
      </c>
      <c r="H20" t="n">
        <v>174318</v>
      </c>
      <c r="I20" t="n">
        <v>37</v>
      </c>
    </row>
    <row r="21">
      <c r="A21" s="2" t="n">
        <v>46054</v>
      </c>
      <c r="B21" t="inlineStr">
        <is>
          <t>Procurement</t>
        </is>
      </c>
      <c r="C21" t="inlineStr">
        <is>
          <t>Neha</t>
        </is>
      </c>
      <c r="D21" t="n">
        <v>278806</v>
      </c>
      <c r="E21" t="n">
        <v>303448</v>
      </c>
      <c r="F21" t="n">
        <v>166143</v>
      </c>
      <c r="G21" t="n">
        <v>26</v>
      </c>
      <c r="H21" t="n">
        <v>108085</v>
      </c>
      <c r="I21" t="n">
        <v>37</v>
      </c>
    </row>
    <row r="22">
      <c r="A22" s="2" t="n">
        <v>46054</v>
      </c>
      <c r="B22" t="inlineStr">
        <is>
          <t>Operations</t>
        </is>
      </c>
      <c r="C22" t="inlineStr">
        <is>
          <t>Vivek</t>
        </is>
      </c>
      <c r="D22" t="n">
        <v>302409</v>
      </c>
      <c r="E22" t="n">
        <v>289022</v>
      </c>
      <c r="F22" t="n">
        <v>124478</v>
      </c>
      <c r="G22" t="n">
        <v>49</v>
      </c>
      <c r="H22" t="n">
        <v>78762</v>
      </c>
      <c r="I22" t="n">
        <v>43</v>
      </c>
    </row>
    <row r="23">
      <c r="A23" s="2" t="n">
        <v>46054</v>
      </c>
      <c r="B23" t="inlineStr">
        <is>
          <t>Operations</t>
        </is>
      </c>
      <c r="C23" t="inlineStr">
        <is>
          <t>Ishita</t>
        </is>
      </c>
      <c r="D23" t="n">
        <v>267939</v>
      </c>
      <c r="E23" t="n">
        <v>306261</v>
      </c>
      <c r="F23" t="n">
        <v>137730</v>
      </c>
      <c r="G23" t="n">
        <v>62</v>
      </c>
      <c r="H23" t="n">
        <v>83954</v>
      </c>
      <c r="I23" t="n">
        <v>40</v>
      </c>
    </row>
    <row r="24">
      <c r="A24" s="2" t="n">
        <v>46054</v>
      </c>
      <c r="B24" t="inlineStr">
        <is>
          <t>Operations</t>
        </is>
      </c>
      <c r="C24" t="inlineStr">
        <is>
          <t>Rahul</t>
        </is>
      </c>
      <c r="D24" t="n">
        <v>344899</v>
      </c>
      <c r="E24" t="n">
        <v>399096</v>
      </c>
      <c r="F24" t="n">
        <v>235285</v>
      </c>
      <c r="G24" t="n">
        <v>39</v>
      </c>
      <c r="H24" t="n">
        <v>162655</v>
      </c>
      <c r="I24" t="n">
        <v>17</v>
      </c>
    </row>
    <row r="25">
      <c r="A25" s="2" t="n">
        <v>46054</v>
      </c>
      <c r="B25" t="inlineStr">
        <is>
          <t>Service</t>
        </is>
      </c>
      <c r="C25" t="inlineStr">
        <is>
          <t>Aditya</t>
        </is>
      </c>
      <c r="D25" t="n">
        <v>406075</v>
      </c>
      <c r="E25" t="n">
        <v>447278</v>
      </c>
      <c r="F25" t="n">
        <v>189926</v>
      </c>
      <c r="G25" t="n">
        <v>47</v>
      </c>
      <c r="H25" t="n">
        <v>131426</v>
      </c>
      <c r="I25" t="n">
        <v>39</v>
      </c>
    </row>
    <row r="26">
      <c r="A26" s="2" t="n">
        <v>46054</v>
      </c>
      <c r="B26" t="inlineStr">
        <is>
          <t>Service</t>
        </is>
      </c>
      <c r="C26" t="inlineStr">
        <is>
          <t>Kavya</t>
        </is>
      </c>
      <c r="D26" t="n">
        <v>333048</v>
      </c>
      <c r="E26" t="n">
        <v>302141</v>
      </c>
      <c r="F26" t="n">
        <v>119049</v>
      </c>
      <c r="G26" t="n">
        <v>44</v>
      </c>
      <c r="H26" t="n">
        <v>69346</v>
      </c>
      <c r="I26" t="n">
        <v>24</v>
      </c>
    </row>
    <row r="27">
      <c r="A27" s="2" t="n">
        <v>46054</v>
      </c>
      <c r="B27" t="inlineStr">
        <is>
          <t>Service</t>
        </is>
      </c>
      <c r="C27" t="inlineStr">
        <is>
          <t>Nikhil</t>
        </is>
      </c>
      <c r="D27" t="n">
        <v>235016</v>
      </c>
      <c r="E27" t="n">
        <v>211963</v>
      </c>
      <c r="F27" t="n">
        <v>88147</v>
      </c>
      <c r="G27" t="n">
        <v>44</v>
      </c>
      <c r="H27" t="n">
        <v>51141</v>
      </c>
      <c r="I27" t="n">
        <v>44</v>
      </c>
    </row>
    <row r="28">
      <c r="A28" s="2" t="n">
        <v>46082</v>
      </c>
      <c r="B28" t="inlineStr">
        <is>
          <t>Sales</t>
        </is>
      </c>
      <c r="C28" t="inlineStr">
        <is>
          <t>Aarav</t>
        </is>
      </c>
      <c r="D28" t="n">
        <v>409170</v>
      </c>
      <c r="E28" t="n">
        <v>363246</v>
      </c>
      <c r="F28" t="n">
        <v>363246</v>
      </c>
      <c r="G28" t="n">
        <v>41</v>
      </c>
      <c r="H28" t="n">
        <v>256560</v>
      </c>
      <c r="I28" t="n">
        <v>43</v>
      </c>
    </row>
    <row r="29">
      <c r="A29" s="2" t="n">
        <v>46082</v>
      </c>
      <c r="B29" t="inlineStr">
        <is>
          <t>Sales</t>
        </is>
      </c>
      <c r="C29" t="inlineStr">
        <is>
          <t>Meera</t>
        </is>
      </c>
      <c r="D29" t="n">
        <v>406911</v>
      </c>
      <c r="E29" t="n">
        <v>408229</v>
      </c>
      <c r="F29" t="n">
        <v>408229</v>
      </c>
      <c r="G29" t="n">
        <v>29</v>
      </c>
      <c r="H29" t="n">
        <v>220618</v>
      </c>
      <c r="I29" t="n">
        <v>13</v>
      </c>
    </row>
    <row r="30">
      <c r="A30" s="2" t="n">
        <v>46082</v>
      </c>
      <c r="B30" t="inlineStr">
        <is>
          <t>Sales</t>
        </is>
      </c>
      <c r="C30" t="inlineStr">
        <is>
          <t>Rohan</t>
        </is>
      </c>
      <c r="D30" t="n">
        <v>400546</v>
      </c>
      <c r="E30" t="n">
        <v>360632</v>
      </c>
      <c r="F30" t="n">
        <v>360632</v>
      </c>
      <c r="G30" t="n">
        <v>34</v>
      </c>
      <c r="H30" t="n">
        <v>196193</v>
      </c>
      <c r="I30" t="n">
        <v>13</v>
      </c>
    </row>
    <row r="31">
      <c r="A31" s="2" t="n">
        <v>46082</v>
      </c>
      <c r="B31" t="inlineStr">
        <is>
          <t>Sales</t>
        </is>
      </c>
      <c r="C31" t="inlineStr">
        <is>
          <t>Priya</t>
        </is>
      </c>
      <c r="D31" t="n">
        <v>414113</v>
      </c>
      <c r="E31" t="n">
        <v>391094</v>
      </c>
      <c r="F31" t="n">
        <v>391094</v>
      </c>
      <c r="G31" t="n">
        <v>40</v>
      </c>
      <c r="H31" t="n">
        <v>213879</v>
      </c>
      <c r="I31" t="n">
        <v>44</v>
      </c>
    </row>
    <row r="32">
      <c r="A32" s="2" t="n">
        <v>46082</v>
      </c>
      <c r="B32" t="inlineStr">
        <is>
          <t>Procurement</t>
        </is>
      </c>
      <c r="C32" t="inlineStr">
        <is>
          <t>Ananya</t>
        </is>
      </c>
      <c r="D32" t="n">
        <v>235680</v>
      </c>
      <c r="E32" t="n">
        <v>206414</v>
      </c>
      <c r="F32" t="n">
        <v>84208</v>
      </c>
      <c r="G32" t="n">
        <v>61</v>
      </c>
      <c r="H32" t="n">
        <v>49469</v>
      </c>
      <c r="I32" t="n">
        <v>17</v>
      </c>
    </row>
    <row r="33">
      <c r="A33" s="2" t="n">
        <v>46082</v>
      </c>
      <c r="B33" t="inlineStr">
        <is>
          <t>Procurement</t>
        </is>
      </c>
      <c r="C33" t="inlineStr">
        <is>
          <t>Karan</t>
        </is>
      </c>
      <c r="D33" t="n">
        <v>398527</v>
      </c>
      <c r="E33" t="n">
        <v>405333</v>
      </c>
      <c r="F33" t="n">
        <v>154975</v>
      </c>
      <c r="G33" t="n">
        <v>34</v>
      </c>
      <c r="H33" t="n">
        <v>101473</v>
      </c>
      <c r="I33" t="n">
        <v>35</v>
      </c>
    </row>
    <row r="34">
      <c r="A34" s="2" t="n">
        <v>46082</v>
      </c>
      <c r="B34" t="inlineStr">
        <is>
          <t>Procurement</t>
        </is>
      </c>
      <c r="C34" t="inlineStr">
        <is>
          <t>Neha</t>
        </is>
      </c>
      <c r="D34" t="n">
        <v>286308</v>
      </c>
      <c r="E34" t="n">
        <v>295733</v>
      </c>
      <c r="F34" t="n">
        <v>178448</v>
      </c>
      <c r="G34" t="n">
        <v>28</v>
      </c>
      <c r="H34" t="n">
        <v>120620</v>
      </c>
      <c r="I34" t="n">
        <v>27</v>
      </c>
    </row>
    <row r="35">
      <c r="A35" s="2" t="n">
        <v>46082</v>
      </c>
      <c r="B35" t="inlineStr">
        <is>
          <t>Operations</t>
        </is>
      </c>
      <c r="C35" t="inlineStr">
        <is>
          <t>Vivek</t>
        </is>
      </c>
      <c r="D35" t="n">
        <v>336256</v>
      </c>
      <c r="E35" t="n">
        <v>282551</v>
      </c>
      <c r="F35" t="n">
        <v>156329</v>
      </c>
      <c r="G35" t="n">
        <v>33</v>
      </c>
      <c r="H35" t="n">
        <v>76567</v>
      </c>
      <c r="I35" t="n">
        <v>31</v>
      </c>
    </row>
    <row r="36">
      <c r="A36" s="2" t="n">
        <v>46082</v>
      </c>
      <c r="B36" t="inlineStr">
        <is>
          <t>Operations</t>
        </is>
      </c>
      <c r="C36" t="inlineStr">
        <is>
          <t>Ishita</t>
        </is>
      </c>
      <c r="D36" t="n">
        <v>313883</v>
      </c>
      <c r="E36" t="n">
        <v>329899</v>
      </c>
      <c r="F36" t="n">
        <v>117653</v>
      </c>
      <c r="G36" t="n">
        <v>20</v>
      </c>
      <c r="H36" t="n">
        <v>79331</v>
      </c>
      <c r="I36" t="n">
        <v>31</v>
      </c>
    </row>
    <row r="37">
      <c r="A37" s="2" t="n">
        <v>46082</v>
      </c>
      <c r="B37" t="inlineStr">
        <is>
          <t>Operations</t>
        </is>
      </c>
      <c r="C37" t="inlineStr">
        <is>
          <t>Rahul</t>
        </is>
      </c>
      <c r="D37" t="n">
        <v>313983</v>
      </c>
      <c r="E37" t="n">
        <v>256985</v>
      </c>
      <c r="F37" t="n">
        <v>186624</v>
      </c>
      <c r="G37" t="n">
        <v>57</v>
      </c>
      <c r="H37" t="n">
        <v>106901</v>
      </c>
      <c r="I37" t="n">
        <v>29</v>
      </c>
    </row>
    <row r="38">
      <c r="A38" s="2" t="n">
        <v>46082</v>
      </c>
      <c r="B38" t="inlineStr">
        <is>
          <t>Service</t>
        </is>
      </c>
      <c r="C38" t="inlineStr">
        <is>
          <t>Aditya</t>
        </is>
      </c>
      <c r="D38" t="n">
        <v>191111</v>
      </c>
      <c r="E38" t="n">
        <v>159579</v>
      </c>
      <c r="F38" t="n">
        <v>77623</v>
      </c>
      <c r="G38" t="n">
        <v>42</v>
      </c>
      <c r="H38" t="n">
        <v>41153</v>
      </c>
      <c r="I38" t="n">
        <v>42</v>
      </c>
    </row>
    <row r="39">
      <c r="A39" s="2" t="n">
        <v>46082</v>
      </c>
      <c r="B39" t="inlineStr">
        <is>
          <t>Service</t>
        </is>
      </c>
      <c r="C39" t="inlineStr">
        <is>
          <t>Kavya</t>
        </is>
      </c>
      <c r="D39" t="n">
        <v>265981</v>
      </c>
      <c r="E39" t="n">
        <v>281491</v>
      </c>
      <c r="F39" t="n">
        <v>124255</v>
      </c>
      <c r="G39" t="n">
        <v>33</v>
      </c>
      <c r="H39" t="n">
        <v>84012</v>
      </c>
      <c r="I39" t="n">
        <v>13</v>
      </c>
    </row>
    <row r="40">
      <c r="A40" s="2" t="n">
        <v>46082</v>
      </c>
      <c r="B40" t="inlineStr">
        <is>
          <t>Service</t>
        </is>
      </c>
      <c r="C40" t="inlineStr">
        <is>
          <t>Nikhil</t>
        </is>
      </c>
      <c r="D40" t="n">
        <v>342688</v>
      </c>
      <c r="E40" t="n">
        <v>280058</v>
      </c>
      <c r="F40" t="n">
        <v>198529</v>
      </c>
      <c r="G40" t="n">
        <v>54</v>
      </c>
      <c r="H40" t="n">
        <v>137348</v>
      </c>
      <c r="I40" t="n">
        <v>20</v>
      </c>
    </row>
    <row r="41">
      <c r="A41" s="2" t="n">
        <v>46113</v>
      </c>
      <c r="B41" t="inlineStr">
        <is>
          <t>Sales</t>
        </is>
      </c>
      <c r="C41" t="inlineStr">
        <is>
          <t>Aarav</t>
        </is>
      </c>
      <c r="D41" t="n">
        <v>187400</v>
      </c>
      <c r="E41" t="n">
        <v>172348</v>
      </c>
      <c r="F41" t="n">
        <v>172348</v>
      </c>
      <c r="G41" t="n">
        <v>33</v>
      </c>
      <c r="H41" t="n">
        <v>119834</v>
      </c>
      <c r="I41" t="n">
        <v>35</v>
      </c>
    </row>
    <row r="42">
      <c r="A42" s="2" t="n">
        <v>46113</v>
      </c>
      <c r="B42" t="inlineStr">
        <is>
          <t>Sales</t>
        </is>
      </c>
      <c r="C42" t="inlineStr">
        <is>
          <t>Meera</t>
        </is>
      </c>
      <c r="D42" t="n">
        <v>300885</v>
      </c>
      <c r="E42" t="n">
        <v>328551</v>
      </c>
      <c r="F42" t="n">
        <v>328551</v>
      </c>
      <c r="G42" t="n">
        <v>41</v>
      </c>
      <c r="H42" t="n">
        <v>224802</v>
      </c>
      <c r="I42" t="n">
        <v>19</v>
      </c>
    </row>
    <row r="43">
      <c r="A43" s="2" t="n">
        <v>46113</v>
      </c>
      <c r="B43" t="inlineStr">
        <is>
          <t>Sales</t>
        </is>
      </c>
      <c r="C43" t="inlineStr">
        <is>
          <t>Rohan</t>
        </is>
      </c>
      <c r="D43" t="n">
        <v>185539</v>
      </c>
      <c r="E43" t="n">
        <v>211407</v>
      </c>
      <c r="F43" t="n">
        <v>211407</v>
      </c>
      <c r="G43" t="n">
        <v>37</v>
      </c>
      <c r="H43" t="n">
        <v>130938</v>
      </c>
      <c r="I43" t="n">
        <v>36</v>
      </c>
    </row>
    <row r="44">
      <c r="A44" s="2" t="n">
        <v>46113</v>
      </c>
      <c r="B44" t="inlineStr">
        <is>
          <t>Sales</t>
        </is>
      </c>
      <c r="C44" t="inlineStr">
        <is>
          <t>Priya</t>
        </is>
      </c>
      <c r="D44" t="n">
        <v>393090</v>
      </c>
      <c r="E44" t="n">
        <v>459705</v>
      </c>
      <c r="F44" t="n">
        <v>459705</v>
      </c>
      <c r="G44" t="n">
        <v>35</v>
      </c>
      <c r="H44" t="n">
        <v>238400</v>
      </c>
      <c r="I44" t="n">
        <v>29</v>
      </c>
    </row>
    <row r="45">
      <c r="A45" s="2" t="n">
        <v>46113</v>
      </c>
      <c r="B45" t="inlineStr">
        <is>
          <t>Procurement</t>
        </is>
      </c>
      <c r="C45" t="inlineStr">
        <is>
          <t>Ananya</t>
        </is>
      </c>
      <c r="D45" t="n">
        <v>257505</v>
      </c>
      <c r="E45" t="n">
        <v>272120</v>
      </c>
      <c r="F45" t="n">
        <v>166206</v>
      </c>
      <c r="G45" t="n">
        <v>58</v>
      </c>
      <c r="H45" t="n">
        <v>86796</v>
      </c>
      <c r="I45" t="n">
        <v>15</v>
      </c>
    </row>
    <row r="46">
      <c r="A46" s="2" t="n">
        <v>46113</v>
      </c>
      <c r="B46" t="inlineStr">
        <is>
          <t>Procurement</t>
        </is>
      </c>
      <c r="C46" t="inlineStr">
        <is>
          <t>Karan</t>
        </is>
      </c>
      <c r="D46" t="n">
        <v>203328</v>
      </c>
      <c r="E46" t="n">
        <v>198764</v>
      </c>
      <c r="F46" t="n">
        <v>83784</v>
      </c>
      <c r="G46" t="n">
        <v>25</v>
      </c>
      <c r="H46" t="n">
        <v>57292</v>
      </c>
      <c r="I46" t="n">
        <v>28</v>
      </c>
    </row>
    <row r="47">
      <c r="A47" s="2" t="n">
        <v>46113</v>
      </c>
      <c r="B47" t="inlineStr">
        <is>
          <t>Procurement</t>
        </is>
      </c>
      <c r="C47" t="inlineStr">
        <is>
          <t>Neha</t>
        </is>
      </c>
      <c r="D47" t="n">
        <v>250271</v>
      </c>
      <c r="E47" t="n">
        <v>252103</v>
      </c>
      <c r="F47" t="n">
        <v>97682</v>
      </c>
      <c r="G47" t="n">
        <v>39</v>
      </c>
      <c r="H47" t="n">
        <v>53104</v>
      </c>
      <c r="I47" t="n">
        <v>41</v>
      </c>
    </row>
    <row r="48">
      <c r="A48" s="2" t="n">
        <v>46113</v>
      </c>
      <c r="B48" t="inlineStr">
        <is>
          <t>Operations</t>
        </is>
      </c>
      <c r="C48" t="inlineStr">
        <is>
          <t>Vivek</t>
        </is>
      </c>
      <c r="D48" t="n">
        <v>390981</v>
      </c>
      <c r="E48" t="n">
        <v>458056</v>
      </c>
      <c r="F48" t="n">
        <v>249501</v>
      </c>
      <c r="G48" t="n">
        <v>25</v>
      </c>
      <c r="H48" t="n">
        <v>157553</v>
      </c>
      <c r="I48" t="n">
        <v>45</v>
      </c>
    </row>
    <row r="49">
      <c r="A49" s="2" t="n">
        <v>46113</v>
      </c>
      <c r="B49" t="inlineStr">
        <is>
          <t>Operations</t>
        </is>
      </c>
      <c r="C49" t="inlineStr">
        <is>
          <t>Ishita</t>
        </is>
      </c>
      <c r="D49" t="n">
        <v>359476</v>
      </c>
      <c r="E49" t="n">
        <v>352665</v>
      </c>
      <c r="F49" t="n">
        <v>204814</v>
      </c>
      <c r="G49" t="n">
        <v>50</v>
      </c>
      <c r="H49" t="n">
        <v>107907</v>
      </c>
      <c r="I49" t="n">
        <v>30</v>
      </c>
    </row>
    <row r="50">
      <c r="A50" s="2" t="n">
        <v>46113</v>
      </c>
      <c r="B50" t="inlineStr">
        <is>
          <t>Operations</t>
        </is>
      </c>
      <c r="C50" t="inlineStr">
        <is>
          <t>Rahul</t>
        </is>
      </c>
      <c r="D50" t="n">
        <v>367907</v>
      </c>
      <c r="E50" t="n">
        <v>290545</v>
      </c>
      <c r="F50" t="n">
        <v>176706</v>
      </c>
      <c r="G50" t="n">
        <v>34</v>
      </c>
      <c r="H50" t="n">
        <v>126997</v>
      </c>
      <c r="I50" t="n">
        <v>41</v>
      </c>
    </row>
    <row r="51">
      <c r="A51" s="2" t="n">
        <v>46113</v>
      </c>
      <c r="B51" t="inlineStr">
        <is>
          <t>Service</t>
        </is>
      </c>
      <c r="C51" t="inlineStr">
        <is>
          <t>Aditya</t>
        </is>
      </c>
      <c r="D51" t="n">
        <v>223484</v>
      </c>
      <c r="E51" t="n">
        <v>199308</v>
      </c>
      <c r="F51" t="n">
        <v>140192</v>
      </c>
      <c r="G51" t="n">
        <v>58</v>
      </c>
      <c r="H51" t="n">
        <v>99359</v>
      </c>
      <c r="I51" t="n">
        <v>40</v>
      </c>
    </row>
    <row r="52">
      <c r="A52" s="2" t="n">
        <v>46113</v>
      </c>
      <c r="B52" t="inlineStr">
        <is>
          <t>Service</t>
        </is>
      </c>
      <c r="C52" t="inlineStr">
        <is>
          <t>Kavya</t>
        </is>
      </c>
      <c r="D52" t="n">
        <v>276752</v>
      </c>
      <c r="E52" t="n">
        <v>277058</v>
      </c>
      <c r="F52" t="n">
        <v>160393</v>
      </c>
      <c r="G52" t="n">
        <v>50</v>
      </c>
      <c r="H52" t="n">
        <v>79889</v>
      </c>
      <c r="I52" t="n">
        <v>32</v>
      </c>
    </row>
    <row r="53">
      <c r="A53" s="2" t="n">
        <v>46113</v>
      </c>
      <c r="B53" t="inlineStr">
        <is>
          <t>Service</t>
        </is>
      </c>
      <c r="C53" t="inlineStr">
        <is>
          <t>Nikhil</t>
        </is>
      </c>
      <c r="D53" t="n">
        <v>412351</v>
      </c>
      <c r="E53" t="n">
        <v>462020</v>
      </c>
      <c r="F53" t="n">
        <v>220276</v>
      </c>
      <c r="G53" t="n">
        <v>35</v>
      </c>
      <c r="H53" t="n">
        <v>135168</v>
      </c>
      <c r="I53" t="n">
        <v>42</v>
      </c>
    </row>
    <row r="54">
      <c r="A54" s="2" t="n">
        <v>46143</v>
      </c>
      <c r="B54" t="inlineStr">
        <is>
          <t>Sales</t>
        </is>
      </c>
      <c r="C54" t="inlineStr">
        <is>
          <t>Aarav</t>
        </is>
      </c>
      <c r="D54" t="n">
        <v>334165</v>
      </c>
      <c r="E54" t="n">
        <v>353684</v>
      </c>
      <c r="F54" t="n">
        <v>353684</v>
      </c>
      <c r="G54" t="n">
        <v>57</v>
      </c>
      <c r="H54" t="n">
        <v>175745</v>
      </c>
      <c r="I54" t="n">
        <v>43</v>
      </c>
    </row>
    <row r="55">
      <c r="A55" s="2" t="n">
        <v>46143</v>
      </c>
      <c r="B55" t="inlineStr">
        <is>
          <t>Sales</t>
        </is>
      </c>
      <c r="C55" t="inlineStr">
        <is>
          <t>Meera</t>
        </is>
      </c>
      <c r="D55" t="n">
        <v>184014</v>
      </c>
      <c r="E55" t="n">
        <v>216404</v>
      </c>
      <c r="F55" t="n">
        <v>216404</v>
      </c>
      <c r="G55" t="n">
        <v>19</v>
      </c>
      <c r="H55" t="n">
        <v>117074</v>
      </c>
      <c r="I55" t="n">
        <v>13</v>
      </c>
    </row>
    <row r="56">
      <c r="A56" s="2" t="n">
        <v>46143</v>
      </c>
      <c r="B56" t="inlineStr">
        <is>
          <t>Sales</t>
        </is>
      </c>
      <c r="C56" t="inlineStr">
        <is>
          <t>Rohan</t>
        </is>
      </c>
      <c r="D56" t="n">
        <v>356089</v>
      </c>
      <c r="E56" t="n">
        <v>383261</v>
      </c>
      <c r="F56" t="n">
        <v>383261</v>
      </c>
      <c r="G56" t="n">
        <v>50</v>
      </c>
      <c r="H56" t="n">
        <v>196532</v>
      </c>
      <c r="I56" t="n">
        <v>40</v>
      </c>
    </row>
    <row r="57">
      <c r="A57" s="2" t="n">
        <v>46143</v>
      </c>
      <c r="B57" t="inlineStr">
        <is>
          <t>Sales</t>
        </is>
      </c>
      <c r="C57" t="inlineStr">
        <is>
          <t>Priya</t>
        </is>
      </c>
      <c r="D57" t="n">
        <v>185801</v>
      </c>
      <c r="E57" t="n">
        <v>205076</v>
      </c>
      <c r="F57" t="n">
        <v>205076</v>
      </c>
      <c r="G57" t="n">
        <v>52</v>
      </c>
      <c r="H57" t="n">
        <v>111046</v>
      </c>
      <c r="I57" t="n">
        <v>35</v>
      </c>
    </row>
    <row r="58">
      <c r="A58" s="2" t="n">
        <v>46143</v>
      </c>
      <c r="B58" t="inlineStr">
        <is>
          <t>Procurement</t>
        </is>
      </c>
      <c r="C58" t="inlineStr">
        <is>
          <t>Ananya</t>
        </is>
      </c>
      <c r="D58" t="n">
        <v>319788</v>
      </c>
      <c r="E58" t="n">
        <v>259871</v>
      </c>
      <c r="F58" t="n">
        <v>91493</v>
      </c>
      <c r="G58" t="n">
        <v>53</v>
      </c>
      <c r="H58" t="n">
        <v>61445</v>
      </c>
      <c r="I58" t="n">
        <v>12</v>
      </c>
    </row>
    <row r="59">
      <c r="A59" s="2" t="n">
        <v>46143</v>
      </c>
      <c r="B59" t="inlineStr">
        <is>
          <t>Procurement</t>
        </is>
      </c>
      <c r="C59" t="inlineStr">
        <is>
          <t>Karan</t>
        </is>
      </c>
      <c r="D59" t="n">
        <v>257575</v>
      </c>
      <c r="E59" t="n">
        <v>273232</v>
      </c>
      <c r="F59" t="n">
        <v>182605</v>
      </c>
      <c r="G59" t="n">
        <v>29</v>
      </c>
      <c r="H59" t="n">
        <v>126506</v>
      </c>
      <c r="I59" t="n">
        <v>26</v>
      </c>
    </row>
    <row r="60">
      <c r="A60" s="2" t="n">
        <v>46143</v>
      </c>
      <c r="B60" t="inlineStr">
        <is>
          <t>Procurement</t>
        </is>
      </c>
      <c r="C60" t="inlineStr">
        <is>
          <t>Neha</t>
        </is>
      </c>
      <c r="D60" t="n">
        <v>324475</v>
      </c>
      <c r="E60" t="n">
        <v>328221</v>
      </c>
      <c r="F60" t="n">
        <v>172443</v>
      </c>
      <c r="G60" t="n">
        <v>39</v>
      </c>
      <c r="H60" t="n">
        <v>96353</v>
      </c>
      <c r="I60" t="n">
        <v>33</v>
      </c>
    </row>
    <row r="61">
      <c r="A61" s="2" t="n">
        <v>46143</v>
      </c>
      <c r="B61" t="inlineStr">
        <is>
          <t>Operations</t>
        </is>
      </c>
      <c r="C61" t="inlineStr">
        <is>
          <t>Vivek</t>
        </is>
      </c>
      <c r="D61" t="n">
        <v>235609</v>
      </c>
      <c r="E61" t="n">
        <v>264862</v>
      </c>
      <c r="F61" t="n">
        <v>119214</v>
      </c>
      <c r="G61" t="n">
        <v>59</v>
      </c>
      <c r="H61" t="n">
        <v>80758</v>
      </c>
      <c r="I61" t="n">
        <v>44</v>
      </c>
    </row>
    <row r="62">
      <c r="A62" s="2" t="n">
        <v>46143</v>
      </c>
      <c r="B62" t="inlineStr">
        <is>
          <t>Operations</t>
        </is>
      </c>
      <c r="C62" t="inlineStr">
        <is>
          <t>Ishita</t>
        </is>
      </c>
      <c r="D62" t="n">
        <v>391207</v>
      </c>
      <c r="E62" t="n">
        <v>425632</v>
      </c>
      <c r="F62" t="n">
        <v>185715</v>
      </c>
      <c r="G62" t="n">
        <v>22</v>
      </c>
      <c r="H62" t="n">
        <v>109524</v>
      </c>
      <c r="I62" t="n">
        <v>17</v>
      </c>
    </row>
    <row r="63">
      <c r="A63" s="2" t="n">
        <v>46143</v>
      </c>
      <c r="B63" t="inlineStr">
        <is>
          <t>Operations</t>
        </is>
      </c>
      <c r="C63" t="inlineStr">
        <is>
          <t>Rahul</t>
        </is>
      </c>
      <c r="D63" t="n">
        <v>377484</v>
      </c>
      <c r="E63" t="n">
        <v>323787</v>
      </c>
      <c r="F63" t="n">
        <v>166601</v>
      </c>
      <c r="G63" t="n">
        <v>52</v>
      </c>
      <c r="H63" t="n">
        <v>105455</v>
      </c>
      <c r="I63" t="n">
        <v>27</v>
      </c>
    </row>
    <row r="64">
      <c r="A64" s="2" t="n">
        <v>46143</v>
      </c>
      <c r="B64" t="inlineStr">
        <is>
          <t>Service</t>
        </is>
      </c>
      <c r="C64" t="inlineStr">
        <is>
          <t>Aditya</t>
        </is>
      </c>
      <c r="D64" t="n">
        <v>274476</v>
      </c>
      <c r="E64" t="n">
        <v>320537</v>
      </c>
      <c r="F64" t="n">
        <v>203809</v>
      </c>
      <c r="G64" t="n">
        <v>36</v>
      </c>
      <c r="H64" t="n">
        <v>136724</v>
      </c>
      <c r="I64" t="n">
        <v>30</v>
      </c>
    </row>
    <row r="65">
      <c r="A65" s="2" t="n">
        <v>46143</v>
      </c>
      <c r="B65" t="inlineStr">
        <is>
          <t>Service</t>
        </is>
      </c>
      <c r="C65" t="inlineStr">
        <is>
          <t>Kavya</t>
        </is>
      </c>
      <c r="D65" t="n">
        <v>208251</v>
      </c>
      <c r="E65" t="n">
        <v>224414</v>
      </c>
      <c r="F65" t="n">
        <v>101063</v>
      </c>
      <c r="G65" t="n">
        <v>43</v>
      </c>
      <c r="H65" t="n">
        <v>71859</v>
      </c>
      <c r="I65" t="n">
        <v>34</v>
      </c>
    </row>
    <row r="66">
      <c r="A66" s="2" t="n">
        <v>46143</v>
      </c>
      <c r="B66" t="inlineStr">
        <is>
          <t>Service</t>
        </is>
      </c>
      <c r="C66" t="inlineStr">
        <is>
          <t>Nikhil</t>
        </is>
      </c>
      <c r="D66" t="n">
        <v>312222</v>
      </c>
      <c r="E66" t="n">
        <v>330452</v>
      </c>
      <c r="F66" t="n">
        <v>169713</v>
      </c>
      <c r="G66" t="n">
        <v>18</v>
      </c>
      <c r="H66" t="n">
        <v>99479</v>
      </c>
      <c r="I66" t="n">
        <v>43</v>
      </c>
    </row>
    <row r="67">
      <c r="A67" s="2" t="n">
        <v>46174</v>
      </c>
      <c r="B67" t="inlineStr">
        <is>
          <t>Sales</t>
        </is>
      </c>
      <c r="C67" t="inlineStr">
        <is>
          <t>Aarav</t>
        </is>
      </c>
      <c r="D67" t="n">
        <v>318877</v>
      </c>
      <c r="E67" t="n">
        <v>260697</v>
      </c>
      <c r="F67" t="n">
        <v>260697</v>
      </c>
      <c r="G67" t="n">
        <v>42</v>
      </c>
      <c r="H67" t="n">
        <v>166441</v>
      </c>
      <c r="I67" t="n">
        <v>12</v>
      </c>
    </row>
    <row r="68">
      <c r="A68" s="2" t="n">
        <v>46174</v>
      </c>
      <c r="B68" t="inlineStr">
        <is>
          <t>Sales</t>
        </is>
      </c>
      <c r="C68" t="inlineStr">
        <is>
          <t>Meera</t>
        </is>
      </c>
      <c r="D68" t="n">
        <v>314415</v>
      </c>
      <c r="E68" t="n">
        <v>310226</v>
      </c>
      <c r="F68" t="n">
        <v>310226</v>
      </c>
      <c r="G68" t="n">
        <v>22</v>
      </c>
      <c r="H68" t="n">
        <v>194453</v>
      </c>
      <c r="I68" t="n">
        <v>14</v>
      </c>
    </row>
    <row r="69">
      <c r="A69" s="2" t="n">
        <v>46174</v>
      </c>
      <c r="B69" t="inlineStr">
        <is>
          <t>Sales</t>
        </is>
      </c>
      <c r="C69" t="inlineStr">
        <is>
          <t>Rohan</t>
        </is>
      </c>
      <c r="D69" t="n">
        <v>396139</v>
      </c>
      <c r="E69" t="n">
        <v>398680</v>
      </c>
      <c r="F69" t="n">
        <v>398680</v>
      </c>
      <c r="G69" t="n">
        <v>54</v>
      </c>
      <c r="H69" t="n">
        <v>202864</v>
      </c>
      <c r="I69" t="n">
        <v>40</v>
      </c>
    </row>
    <row r="70">
      <c r="A70" s="2" t="n">
        <v>46174</v>
      </c>
      <c r="B70" t="inlineStr">
        <is>
          <t>Sales</t>
        </is>
      </c>
      <c r="C70" t="inlineStr">
        <is>
          <t>Priya</t>
        </is>
      </c>
      <c r="D70" t="n">
        <v>372461</v>
      </c>
      <c r="E70" t="n">
        <v>304196</v>
      </c>
      <c r="F70" t="n">
        <v>304196</v>
      </c>
      <c r="G70" t="n">
        <v>64</v>
      </c>
      <c r="H70" t="n">
        <v>148987</v>
      </c>
      <c r="I70" t="n">
        <v>16</v>
      </c>
    </row>
    <row r="71">
      <c r="A71" s="2" t="n">
        <v>46174</v>
      </c>
      <c r="B71" t="inlineStr">
        <is>
          <t>Procurement</t>
        </is>
      </c>
      <c r="C71" t="inlineStr">
        <is>
          <t>Ananya</t>
        </is>
      </c>
      <c r="D71" t="n">
        <v>406507</v>
      </c>
      <c r="E71" t="n">
        <v>319865</v>
      </c>
      <c r="F71" t="n">
        <v>209622</v>
      </c>
      <c r="G71" t="n">
        <v>38</v>
      </c>
      <c r="H71" t="n">
        <v>124438</v>
      </c>
      <c r="I71" t="n">
        <v>44</v>
      </c>
    </row>
    <row r="72">
      <c r="A72" s="2" t="n">
        <v>46174</v>
      </c>
      <c r="B72" t="inlineStr">
        <is>
          <t>Procurement</t>
        </is>
      </c>
      <c r="C72" t="inlineStr">
        <is>
          <t>Karan</t>
        </is>
      </c>
      <c r="D72" t="n">
        <v>236573</v>
      </c>
      <c r="E72" t="n">
        <v>225581</v>
      </c>
      <c r="F72" t="n">
        <v>114911</v>
      </c>
      <c r="G72" t="n">
        <v>27</v>
      </c>
      <c r="H72" t="n">
        <v>81333</v>
      </c>
      <c r="I72" t="n">
        <v>47</v>
      </c>
    </row>
    <row r="73">
      <c r="A73" s="2" t="n">
        <v>46174</v>
      </c>
      <c r="B73" t="inlineStr">
        <is>
          <t>Procurement</t>
        </is>
      </c>
      <c r="C73" t="inlineStr">
        <is>
          <t>Neha</t>
        </is>
      </c>
      <c r="D73" t="n">
        <v>248385</v>
      </c>
      <c r="E73" t="n">
        <v>219661</v>
      </c>
      <c r="F73" t="n">
        <v>78226</v>
      </c>
      <c r="G73" t="n">
        <v>36</v>
      </c>
      <c r="H73" t="n">
        <v>46994</v>
      </c>
      <c r="I73" t="n">
        <v>12</v>
      </c>
    </row>
    <row r="74">
      <c r="A74" s="2" t="n">
        <v>46174</v>
      </c>
      <c r="B74" t="inlineStr">
        <is>
          <t>Operations</t>
        </is>
      </c>
      <c r="C74" t="inlineStr">
        <is>
          <t>Vivek</t>
        </is>
      </c>
      <c r="D74" t="n">
        <v>221975</v>
      </c>
      <c r="E74" t="n">
        <v>231625</v>
      </c>
      <c r="F74" t="n">
        <v>96164</v>
      </c>
      <c r="G74" t="n">
        <v>41</v>
      </c>
      <c r="H74" t="n">
        <v>67943</v>
      </c>
      <c r="I74" t="n">
        <v>13</v>
      </c>
    </row>
    <row r="75">
      <c r="A75" s="2" t="n">
        <v>46174</v>
      </c>
      <c r="B75" t="inlineStr">
        <is>
          <t>Operations</t>
        </is>
      </c>
      <c r="C75" t="inlineStr">
        <is>
          <t>Ishita</t>
        </is>
      </c>
      <c r="D75" t="n">
        <v>274704</v>
      </c>
      <c r="E75" t="n">
        <v>309558</v>
      </c>
      <c r="F75" t="n">
        <v>187146</v>
      </c>
      <c r="G75" t="n">
        <v>37</v>
      </c>
      <c r="H75" t="n">
        <v>115677</v>
      </c>
      <c r="I75" t="n">
        <v>46</v>
      </c>
    </row>
    <row r="76">
      <c r="A76" s="2" t="n">
        <v>46174</v>
      </c>
      <c r="B76" t="inlineStr">
        <is>
          <t>Operations</t>
        </is>
      </c>
      <c r="C76" t="inlineStr">
        <is>
          <t>Rahul</t>
        </is>
      </c>
      <c r="D76" t="n">
        <v>346267</v>
      </c>
      <c r="E76" t="n">
        <v>287886</v>
      </c>
      <c r="F76" t="n">
        <v>194173</v>
      </c>
      <c r="G76" t="n">
        <v>60</v>
      </c>
      <c r="H76" t="n">
        <v>137076</v>
      </c>
      <c r="I76" t="n">
        <v>14</v>
      </c>
    </row>
    <row r="77">
      <c r="A77" s="2" t="n">
        <v>46174</v>
      </c>
      <c r="B77" t="inlineStr">
        <is>
          <t>Service</t>
        </is>
      </c>
      <c r="C77" t="inlineStr">
        <is>
          <t>Aditya</t>
        </is>
      </c>
      <c r="D77" t="n">
        <v>408928</v>
      </c>
      <c r="E77" t="n">
        <v>476186</v>
      </c>
      <c r="F77" t="n">
        <v>339111</v>
      </c>
      <c r="G77" t="n">
        <v>61</v>
      </c>
      <c r="H77" t="n">
        <v>185070</v>
      </c>
      <c r="I77" t="n">
        <v>23</v>
      </c>
    </row>
    <row r="78">
      <c r="A78" s="2" t="n">
        <v>46174</v>
      </c>
      <c r="B78" t="inlineStr">
        <is>
          <t>Service</t>
        </is>
      </c>
      <c r="C78" t="inlineStr">
        <is>
          <t>Kavya</t>
        </is>
      </c>
      <c r="D78" t="n">
        <v>218494</v>
      </c>
      <c r="E78" t="n">
        <v>203396</v>
      </c>
      <c r="F78" t="n">
        <v>74358</v>
      </c>
      <c r="G78" t="n">
        <v>52</v>
      </c>
      <c r="H78" t="n">
        <v>41697</v>
      </c>
      <c r="I78" t="n">
        <v>37</v>
      </c>
    </row>
    <row r="79">
      <c r="A79" s="2" t="n">
        <v>46174</v>
      </c>
      <c r="B79" t="inlineStr">
        <is>
          <t>Service</t>
        </is>
      </c>
      <c r="C79" t="inlineStr">
        <is>
          <t>Nikhil</t>
        </is>
      </c>
      <c r="D79" t="n">
        <v>205351</v>
      </c>
      <c r="E79" t="n">
        <v>191830</v>
      </c>
      <c r="F79" t="n">
        <v>119442</v>
      </c>
      <c r="G79" t="n">
        <v>51</v>
      </c>
      <c r="H79" t="n">
        <v>64805</v>
      </c>
      <c r="I79" t="n">
        <v>18</v>
      </c>
    </row>
    <row r="80">
      <c r="A80" s="2" t="n">
        <v>46204</v>
      </c>
      <c r="B80" t="inlineStr">
        <is>
          <t>Sales</t>
        </is>
      </c>
      <c r="C80" t="inlineStr">
        <is>
          <t>Aarav</t>
        </is>
      </c>
      <c r="D80" t="n">
        <v>183267</v>
      </c>
      <c r="E80" t="n">
        <v>193741</v>
      </c>
      <c r="F80" t="n">
        <v>193741</v>
      </c>
      <c r="G80" t="n">
        <v>62</v>
      </c>
      <c r="H80" t="n">
        <v>136547</v>
      </c>
      <c r="I80" t="n">
        <v>47</v>
      </c>
    </row>
    <row r="81">
      <c r="A81" s="2" t="n">
        <v>46204</v>
      </c>
      <c r="B81" t="inlineStr">
        <is>
          <t>Sales</t>
        </is>
      </c>
      <c r="C81" t="inlineStr">
        <is>
          <t>Meera</t>
        </is>
      </c>
      <c r="D81" t="n">
        <v>344568</v>
      </c>
      <c r="E81" t="n">
        <v>379504</v>
      </c>
      <c r="F81" t="n">
        <v>379504</v>
      </c>
      <c r="G81" t="n">
        <v>53</v>
      </c>
      <c r="H81" t="n">
        <v>198323</v>
      </c>
      <c r="I81" t="n">
        <v>20</v>
      </c>
    </row>
    <row r="82">
      <c r="A82" s="2" t="n">
        <v>46204</v>
      </c>
      <c r="B82" t="inlineStr">
        <is>
          <t>Sales</t>
        </is>
      </c>
      <c r="C82" t="inlineStr">
        <is>
          <t>Rohan</t>
        </is>
      </c>
      <c r="D82" t="n">
        <v>346807</v>
      </c>
      <c r="E82" t="n">
        <v>382435</v>
      </c>
      <c r="F82" t="n">
        <v>382435</v>
      </c>
      <c r="G82" t="n">
        <v>52</v>
      </c>
      <c r="H82" t="n">
        <v>221440</v>
      </c>
      <c r="I82" t="n">
        <v>29</v>
      </c>
    </row>
    <row r="83">
      <c r="A83" s="2" t="n">
        <v>46204</v>
      </c>
      <c r="B83" t="inlineStr">
        <is>
          <t>Sales</t>
        </is>
      </c>
      <c r="C83" t="inlineStr">
        <is>
          <t>Priya</t>
        </is>
      </c>
      <c r="D83" t="n">
        <v>250640</v>
      </c>
      <c r="E83" t="n">
        <v>273339</v>
      </c>
      <c r="F83" t="n">
        <v>273339</v>
      </c>
      <c r="G83" t="n">
        <v>41</v>
      </c>
      <c r="H83" t="n">
        <v>188086</v>
      </c>
      <c r="I83" t="n">
        <v>43</v>
      </c>
    </row>
    <row r="84">
      <c r="A84" s="2" t="n">
        <v>46204</v>
      </c>
      <c r="B84" t="inlineStr">
        <is>
          <t>Procurement</t>
        </is>
      </c>
      <c r="C84" t="inlineStr">
        <is>
          <t>Ananya</t>
        </is>
      </c>
      <c r="D84" t="n">
        <v>241476</v>
      </c>
      <c r="E84" t="n">
        <v>211397</v>
      </c>
      <c r="F84" t="n">
        <v>131475</v>
      </c>
      <c r="G84" t="n">
        <v>40</v>
      </c>
      <c r="H84" t="n">
        <v>86916</v>
      </c>
      <c r="I84" t="n">
        <v>41</v>
      </c>
    </row>
    <row r="85">
      <c r="A85" s="2" t="n">
        <v>46204</v>
      </c>
      <c r="B85" t="inlineStr">
        <is>
          <t>Procurement</t>
        </is>
      </c>
      <c r="C85" t="inlineStr">
        <is>
          <t>Karan</t>
        </is>
      </c>
      <c r="D85" t="n">
        <v>291888</v>
      </c>
      <c r="E85" t="n">
        <v>290058</v>
      </c>
      <c r="F85" t="n">
        <v>159132</v>
      </c>
      <c r="G85" t="n">
        <v>42</v>
      </c>
      <c r="H85" t="n">
        <v>88606</v>
      </c>
      <c r="I85" t="n">
        <v>30</v>
      </c>
    </row>
    <row r="86">
      <c r="A86" s="2" t="n">
        <v>46204</v>
      </c>
      <c r="B86" t="inlineStr">
        <is>
          <t>Procurement</t>
        </is>
      </c>
      <c r="C86" t="inlineStr">
        <is>
          <t>Neha</t>
        </is>
      </c>
      <c r="D86" t="n">
        <v>358352</v>
      </c>
      <c r="E86" t="n">
        <v>287181</v>
      </c>
      <c r="F86" t="n">
        <v>210623</v>
      </c>
      <c r="G86" t="n">
        <v>36</v>
      </c>
      <c r="H86" t="n">
        <v>105713</v>
      </c>
      <c r="I86" t="n">
        <v>18</v>
      </c>
    </row>
    <row r="87">
      <c r="A87" s="2" t="n">
        <v>46204</v>
      </c>
      <c r="B87" t="inlineStr">
        <is>
          <t>Operations</t>
        </is>
      </c>
      <c r="C87" t="inlineStr">
        <is>
          <t>Vivek</t>
        </is>
      </c>
      <c r="D87" t="n">
        <v>239163</v>
      </c>
      <c r="E87" t="n">
        <v>277435</v>
      </c>
      <c r="F87" t="n">
        <v>202594</v>
      </c>
      <c r="G87" t="n">
        <v>36</v>
      </c>
      <c r="H87" t="n">
        <v>121217</v>
      </c>
      <c r="I87" t="n">
        <v>27</v>
      </c>
    </row>
    <row r="88">
      <c r="A88" s="2" t="n">
        <v>46204</v>
      </c>
      <c r="B88" t="inlineStr">
        <is>
          <t>Operations</t>
        </is>
      </c>
      <c r="C88" t="inlineStr">
        <is>
          <t>Ishita</t>
        </is>
      </c>
      <c r="D88" t="n">
        <v>266900</v>
      </c>
      <c r="E88" t="n">
        <v>217972</v>
      </c>
      <c r="F88" t="n">
        <v>128816</v>
      </c>
      <c r="G88" t="n">
        <v>38</v>
      </c>
      <c r="H88" t="n">
        <v>85091</v>
      </c>
      <c r="I88" t="n">
        <v>34</v>
      </c>
    </row>
    <row r="89">
      <c r="A89" s="2" t="n">
        <v>46204</v>
      </c>
      <c r="B89" t="inlineStr">
        <is>
          <t>Operations</t>
        </is>
      </c>
      <c r="C89" t="inlineStr">
        <is>
          <t>Rahul</t>
        </is>
      </c>
      <c r="D89" t="n">
        <v>377775</v>
      </c>
      <c r="E89" t="n">
        <v>413983</v>
      </c>
      <c r="F89" t="n">
        <v>159997</v>
      </c>
      <c r="G89" t="n">
        <v>59</v>
      </c>
      <c r="H89" t="n">
        <v>114208</v>
      </c>
      <c r="I89" t="n">
        <v>25</v>
      </c>
    </row>
    <row r="90">
      <c r="A90" s="2" t="n">
        <v>46204</v>
      </c>
      <c r="B90" t="inlineStr">
        <is>
          <t>Service</t>
        </is>
      </c>
      <c r="C90" t="inlineStr">
        <is>
          <t>Aditya</t>
        </is>
      </c>
      <c r="D90" t="n">
        <v>306174</v>
      </c>
      <c r="E90" t="n">
        <v>245658</v>
      </c>
      <c r="F90" t="n">
        <v>158403</v>
      </c>
      <c r="G90" t="n">
        <v>46</v>
      </c>
      <c r="H90" t="n">
        <v>89374</v>
      </c>
      <c r="I90" t="n">
        <v>29</v>
      </c>
    </row>
    <row r="91">
      <c r="A91" s="2" t="n">
        <v>46204</v>
      </c>
      <c r="B91" t="inlineStr">
        <is>
          <t>Service</t>
        </is>
      </c>
      <c r="C91" t="inlineStr">
        <is>
          <t>Kavya</t>
        </is>
      </c>
      <c r="D91" t="n">
        <v>283150</v>
      </c>
      <c r="E91" t="n">
        <v>237052</v>
      </c>
      <c r="F91" t="n">
        <v>155175</v>
      </c>
      <c r="G91" t="n">
        <v>61</v>
      </c>
      <c r="H91" t="n">
        <v>106767</v>
      </c>
      <c r="I91" t="n">
        <v>18</v>
      </c>
    </row>
    <row r="92">
      <c r="A92" s="2" t="n">
        <v>46204</v>
      </c>
      <c r="B92" t="inlineStr">
        <is>
          <t>Service</t>
        </is>
      </c>
      <c r="C92" t="inlineStr">
        <is>
          <t>Nikhil</t>
        </is>
      </c>
      <c r="D92" t="n">
        <v>201677</v>
      </c>
      <c r="E92" t="n">
        <v>213855</v>
      </c>
      <c r="F92" t="n">
        <v>81073</v>
      </c>
      <c r="G92" t="n">
        <v>44</v>
      </c>
      <c r="H92" t="n">
        <v>52656</v>
      </c>
      <c r="I92" t="n">
        <v>16</v>
      </c>
    </row>
    <row r="93">
      <c r="A93" s="2" t="n">
        <v>46235</v>
      </c>
      <c r="B93" t="inlineStr">
        <is>
          <t>Sales</t>
        </is>
      </c>
      <c r="C93" t="inlineStr">
        <is>
          <t>Aarav</t>
        </is>
      </c>
      <c r="D93" t="n">
        <v>268092</v>
      </c>
      <c r="E93" t="n">
        <v>218209</v>
      </c>
      <c r="F93" t="n">
        <v>218209</v>
      </c>
      <c r="G93" t="n">
        <v>36</v>
      </c>
      <c r="H93" t="n">
        <v>135183</v>
      </c>
      <c r="I93" t="n">
        <v>12</v>
      </c>
    </row>
    <row r="94">
      <c r="A94" s="2" t="n">
        <v>46235</v>
      </c>
      <c r="B94" t="inlineStr">
        <is>
          <t>Sales</t>
        </is>
      </c>
      <c r="C94" t="inlineStr">
        <is>
          <t>Meera</t>
        </is>
      </c>
      <c r="D94" t="n">
        <v>394357</v>
      </c>
      <c r="E94" t="n">
        <v>435811</v>
      </c>
      <c r="F94" t="n">
        <v>435811</v>
      </c>
      <c r="G94" t="n">
        <v>24</v>
      </c>
      <c r="H94" t="n">
        <v>312319</v>
      </c>
      <c r="I94" t="n">
        <v>15</v>
      </c>
    </row>
    <row r="95">
      <c r="A95" s="2" t="n">
        <v>46235</v>
      </c>
      <c r="B95" t="inlineStr">
        <is>
          <t>Sales</t>
        </is>
      </c>
      <c r="C95" t="inlineStr">
        <is>
          <t>Rohan</t>
        </is>
      </c>
      <c r="D95" t="n">
        <v>346981</v>
      </c>
      <c r="E95" t="n">
        <v>368935</v>
      </c>
      <c r="F95" t="n">
        <v>368935</v>
      </c>
      <c r="G95" t="n">
        <v>36</v>
      </c>
      <c r="H95" t="n">
        <v>245900</v>
      </c>
      <c r="I95" t="n">
        <v>38</v>
      </c>
    </row>
    <row r="96">
      <c r="A96" s="2" t="n">
        <v>46235</v>
      </c>
      <c r="B96" t="inlineStr">
        <is>
          <t>Sales</t>
        </is>
      </c>
      <c r="C96" t="inlineStr">
        <is>
          <t>Priya</t>
        </is>
      </c>
      <c r="D96" t="n">
        <v>205289</v>
      </c>
      <c r="E96" t="n">
        <v>234551</v>
      </c>
      <c r="F96" t="n">
        <v>234551</v>
      </c>
      <c r="G96" t="n">
        <v>56</v>
      </c>
      <c r="H96" t="n">
        <v>137040</v>
      </c>
      <c r="I96" t="n">
        <v>24</v>
      </c>
    </row>
    <row r="97">
      <c r="A97" s="2" t="n">
        <v>46235</v>
      </c>
      <c r="B97" t="inlineStr">
        <is>
          <t>Procurement</t>
        </is>
      </c>
      <c r="C97" t="inlineStr">
        <is>
          <t>Ananya</t>
        </is>
      </c>
      <c r="D97" t="n">
        <v>397841</v>
      </c>
      <c r="E97" t="n">
        <v>384896</v>
      </c>
      <c r="F97" t="n">
        <v>143381</v>
      </c>
      <c r="G97" t="n">
        <v>45</v>
      </c>
      <c r="H97" t="n">
        <v>95223</v>
      </c>
      <c r="I97" t="n">
        <v>12</v>
      </c>
    </row>
    <row r="98">
      <c r="A98" s="2" t="n">
        <v>46235</v>
      </c>
      <c r="B98" t="inlineStr">
        <is>
          <t>Procurement</t>
        </is>
      </c>
      <c r="C98" t="inlineStr">
        <is>
          <t>Karan</t>
        </is>
      </c>
      <c r="D98" t="n">
        <v>219298</v>
      </c>
      <c r="E98" t="n">
        <v>222225</v>
      </c>
      <c r="F98" t="n">
        <v>163306</v>
      </c>
      <c r="G98" t="n">
        <v>42</v>
      </c>
      <c r="H98" t="n">
        <v>112430</v>
      </c>
      <c r="I98" t="n">
        <v>17</v>
      </c>
    </row>
    <row r="99">
      <c r="A99" s="2" t="n">
        <v>46235</v>
      </c>
      <c r="B99" t="inlineStr">
        <is>
          <t>Procurement</t>
        </is>
      </c>
      <c r="C99" t="inlineStr">
        <is>
          <t>Neha</t>
        </is>
      </c>
      <c r="D99" t="n">
        <v>378713</v>
      </c>
      <c r="E99" t="n">
        <v>297237</v>
      </c>
      <c r="F99" t="n">
        <v>219346</v>
      </c>
      <c r="G99" t="n">
        <v>64</v>
      </c>
      <c r="H99" t="n">
        <v>152198</v>
      </c>
      <c r="I99" t="n">
        <v>32</v>
      </c>
    </row>
    <row r="100">
      <c r="A100" s="2" t="n">
        <v>46235</v>
      </c>
      <c r="B100" t="inlineStr">
        <is>
          <t>Operations</t>
        </is>
      </c>
      <c r="C100" t="inlineStr">
        <is>
          <t>Vivek</t>
        </is>
      </c>
      <c r="D100" t="n">
        <v>372714</v>
      </c>
      <c r="E100" t="n">
        <v>427743</v>
      </c>
      <c r="F100" t="n">
        <v>192995</v>
      </c>
      <c r="G100" t="n">
        <v>36</v>
      </c>
      <c r="H100" t="n">
        <v>137534</v>
      </c>
      <c r="I100" t="n">
        <v>29</v>
      </c>
    </row>
    <row r="101">
      <c r="A101" s="2" t="n">
        <v>46235</v>
      </c>
      <c r="B101" t="inlineStr">
        <is>
          <t>Operations</t>
        </is>
      </c>
      <c r="C101" t="inlineStr">
        <is>
          <t>Ishita</t>
        </is>
      </c>
      <c r="D101" t="n">
        <v>251726</v>
      </c>
      <c r="E101" t="n">
        <v>259720</v>
      </c>
      <c r="F101" t="n">
        <v>163181</v>
      </c>
      <c r="G101" t="n">
        <v>48</v>
      </c>
      <c r="H101" t="n">
        <v>117327</v>
      </c>
      <c r="I101" t="n">
        <v>14</v>
      </c>
    </row>
    <row r="102">
      <c r="A102" s="2" t="n">
        <v>46235</v>
      </c>
      <c r="B102" t="inlineStr">
        <is>
          <t>Operations</t>
        </is>
      </c>
      <c r="C102" t="inlineStr">
        <is>
          <t>Rahul</t>
        </is>
      </c>
      <c r="D102" t="n">
        <v>330159</v>
      </c>
      <c r="E102" t="n">
        <v>354868</v>
      </c>
      <c r="F102" t="n">
        <v>254121</v>
      </c>
      <c r="G102" t="n">
        <v>27</v>
      </c>
      <c r="H102" t="n">
        <v>179942</v>
      </c>
      <c r="I102" t="n">
        <v>19</v>
      </c>
    </row>
    <row r="103">
      <c r="A103" s="2" t="n">
        <v>46235</v>
      </c>
      <c r="B103" t="inlineStr">
        <is>
          <t>Service</t>
        </is>
      </c>
      <c r="C103" t="inlineStr">
        <is>
          <t>Aditya</t>
        </is>
      </c>
      <c r="D103" t="n">
        <v>401541</v>
      </c>
      <c r="E103" t="n">
        <v>386387</v>
      </c>
      <c r="F103" t="n">
        <v>231079</v>
      </c>
      <c r="G103" t="n">
        <v>25</v>
      </c>
      <c r="H103" t="n">
        <v>120328</v>
      </c>
      <c r="I103" t="n">
        <v>47</v>
      </c>
    </row>
    <row r="104">
      <c r="A104" s="2" t="n">
        <v>46235</v>
      </c>
      <c r="B104" t="inlineStr">
        <is>
          <t>Service</t>
        </is>
      </c>
      <c r="C104" t="inlineStr">
        <is>
          <t>Kavya</t>
        </is>
      </c>
      <c r="D104" t="n">
        <v>241529</v>
      </c>
      <c r="E104" t="n">
        <v>225903</v>
      </c>
      <c r="F104" t="n">
        <v>99794</v>
      </c>
      <c r="G104" t="n">
        <v>45</v>
      </c>
      <c r="H104" t="n">
        <v>49762</v>
      </c>
      <c r="I104" t="n">
        <v>47</v>
      </c>
    </row>
    <row r="105">
      <c r="A105" s="2" t="n">
        <v>46235</v>
      </c>
      <c r="B105" t="inlineStr">
        <is>
          <t>Service</t>
        </is>
      </c>
      <c r="C105" t="inlineStr">
        <is>
          <t>Nikhil</t>
        </is>
      </c>
      <c r="D105" t="n">
        <v>200159</v>
      </c>
      <c r="E105" t="n">
        <v>192412</v>
      </c>
      <c r="F105" t="n">
        <v>69831</v>
      </c>
      <c r="G105" t="n">
        <v>26</v>
      </c>
      <c r="H105" t="n">
        <v>38706</v>
      </c>
      <c r="I105" t="n">
        <v>31</v>
      </c>
    </row>
    <row r="106">
      <c r="A106" s="2" t="n">
        <v>46266</v>
      </c>
      <c r="B106" t="inlineStr">
        <is>
          <t>Sales</t>
        </is>
      </c>
      <c r="C106" t="inlineStr">
        <is>
          <t>Aarav</t>
        </is>
      </c>
      <c r="D106" t="n">
        <v>346619</v>
      </c>
      <c r="E106" t="n">
        <v>307930</v>
      </c>
      <c r="F106" t="n">
        <v>307930</v>
      </c>
      <c r="G106" t="n">
        <v>30</v>
      </c>
      <c r="H106" t="n">
        <v>215126</v>
      </c>
      <c r="I106" t="n">
        <v>17</v>
      </c>
    </row>
    <row r="107">
      <c r="A107" s="2" t="n">
        <v>46266</v>
      </c>
      <c r="B107" t="inlineStr">
        <is>
          <t>Sales</t>
        </is>
      </c>
      <c r="C107" t="inlineStr">
        <is>
          <t>Meera</t>
        </is>
      </c>
      <c r="D107" t="n">
        <v>316785</v>
      </c>
      <c r="E107" t="n">
        <v>299886</v>
      </c>
      <c r="F107" t="n">
        <v>299886</v>
      </c>
      <c r="G107" t="n">
        <v>22</v>
      </c>
      <c r="H107" t="n">
        <v>188094</v>
      </c>
      <c r="I107" t="n">
        <v>13</v>
      </c>
    </row>
    <row r="108">
      <c r="A108" s="2" t="n">
        <v>46266</v>
      </c>
      <c r="B108" t="inlineStr">
        <is>
          <t>Sales</t>
        </is>
      </c>
      <c r="C108" t="inlineStr">
        <is>
          <t>Rohan</t>
        </is>
      </c>
      <c r="D108" t="n">
        <v>376617</v>
      </c>
      <c r="E108" t="n">
        <v>434273</v>
      </c>
      <c r="F108" t="n">
        <v>434273</v>
      </c>
      <c r="G108" t="n">
        <v>62</v>
      </c>
      <c r="H108" t="n">
        <v>225630</v>
      </c>
      <c r="I108" t="n">
        <v>44</v>
      </c>
    </row>
    <row r="109">
      <c r="A109" s="2" t="n">
        <v>46266</v>
      </c>
      <c r="B109" t="inlineStr">
        <is>
          <t>Sales</t>
        </is>
      </c>
      <c r="C109" t="inlineStr">
        <is>
          <t>Priya</t>
        </is>
      </c>
      <c r="D109" t="n">
        <v>241813</v>
      </c>
      <c r="E109" t="n">
        <v>267015</v>
      </c>
      <c r="F109" t="n">
        <v>267015</v>
      </c>
      <c r="G109" t="n">
        <v>49</v>
      </c>
      <c r="H109" t="n">
        <v>191307</v>
      </c>
      <c r="I109" t="n">
        <v>22</v>
      </c>
    </row>
    <row r="110">
      <c r="A110" s="2" t="n">
        <v>46266</v>
      </c>
      <c r="B110" t="inlineStr">
        <is>
          <t>Procurement</t>
        </is>
      </c>
      <c r="C110" t="inlineStr">
        <is>
          <t>Ananya</t>
        </is>
      </c>
      <c r="D110" t="n">
        <v>242292</v>
      </c>
      <c r="E110" t="n">
        <v>261634</v>
      </c>
      <c r="F110" t="n">
        <v>132699</v>
      </c>
      <c r="G110" t="n">
        <v>44</v>
      </c>
      <c r="H110" t="n">
        <v>81819</v>
      </c>
      <c r="I110" t="n">
        <v>44</v>
      </c>
    </row>
    <row r="111">
      <c r="A111" s="2" t="n">
        <v>46266</v>
      </c>
      <c r="B111" t="inlineStr">
        <is>
          <t>Procurement</t>
        </is>
      </c>
      <c r="C111" t="inlineStr">
        <is>
          <t>Karan</t>
        </is>
      </c>
      <c r="D111" t="n">
        <v>198017</v>
      </c>
      <c r="E111" t="n">
        <v>157369</v>
      </c>
      <c r="F111" t="n">
        <v>63504</v>
      </c>
      <c r="G111" t="n">
        <v>38</v>
      </c>
      <c r="H111" t="n">
        <v>31341</v>
      </c>
      <c r="I111" t="n">
        <v>17</v>
      </c>
    </row>
    <row r="112">
      <c r="A112" s="2" t="n">
        <v>46266</v>
      </c>
      <c r="B112" t="inlineStr">
        <is>
          <t>Procurement</t>
        </is>
      </c>
      <c r="C112" t="inlineStr">
        <is>
          <t>Neha</t>
        </is>
      </c>
      <c r="D112" t="n">
        <v>192763</v>
      </c>
      <c r="E112" t="n">
        <v>213034</v>
      </c>
      <c r="F112" t="n">
        <v>159751</v>
      </c>
      <c r="G112" t="n">
        <v>55</v>
      </c>
      <c r="H112" t="n">
        <v>111691</v>
      </c>
      <c r="I112" t="n">
        <v>34</v>
      </c>
    </row>
    <row r="113">
      <c r="A113" s="2" t="n">
        <v>46266</v>
      </c>
      <c r="B113" t="inlineStr">
        <is>
          <t>Operations</t>
        </is>
      </c>
      <c r="C113" t="inlineStr">
        <is>
          <t>Vivek</t>
        </is>
      </c>
      <c r="D113" t="n">
        <v>203524</v>
      </c>
      <c r="E113" t="n">
        <v>217861</v>
      </c>
      <c r="F113" t="n">
        <v>142226</v>
      </c>
      <c r="G113" t="n">
        <v>36</v>
      </c>
      <c r="H113" t="n">
        <v>76711</v>
      </c>
      <c r="I113" t="n">
        <v>25</v>
      </c>
    </row>
    <row r="114">
      <c r="A114" s="2" t="n">
        <v>46266</v>
      </c>
      <c r="B114" t="inlineStr">
        <is>
          <t>Operations</t>
        </is>
      </c>
      <c r="C114" t="inlineStr">
        <is>
          <t>Ishita</t>
        </is>
      </c>
      <c r="D114" t="n">
        <v>301288</v>
      </c>
      <c r="E114" t="n">
        <v>250570</v>
      </c>
      <c r="F114" t="n">
        <v>183322</v>
      </c>
      <c r="G114" t="n">
        <v>30</v>
      </c>
      <c r="H114" t="n">
        <v>97112</v>
      </c>
      <c r="I114" t="n">
        <v>12</v>
      </c>
    </row>
    <row r="115">
      <c r="A115" s="2" t="n">
        <v>46266</v>
      </c>
      <c r="B115" t="inlineStr">
        <is>
          <t>Operations</t>
        </is>
      </c>
      <c r="C115" t="inlineStr">
        <is>
          <t>Rahul</t>
        </is>
      </c>
      <c r="D115" t="n">
        <v>217744</v>
      </c>
      <c r="E115" t="n">
        <v>235773</v>
      </c>
      <c r="F115" t="n">
        <v>86943</v>
      </c>
      <c r="G115" t="n">
        <v>48</v>
      </c>
      <c r="H115" t="n">
        <v>44102</v>
      </c>
      <c r="I115" t="n">
        <v>37</v>
      </c>
    </row>
    <row r="116">
      <c r="A116" s="2" t="n">
        <v>46266</v>
      </c>
      <c r="B116" t="inlineStr">
        <is>
          <t>Service</t>
        </is>
      </c>
      <c r="C116" t="inlineStr">
        <is>
          <t>Aditya</t>
        </is>
      </c>
      <c r="D116" t="n">
        <v>369089</v>
      </c>
      <c r="E116" t="n">
        <v>358195</v>
      </c>
      <c r="F116" t="n">
        <v>244485</v>
      </c>
      <c r="G116" t="n">
        <v>29</v>
      </c>
      <c r="H116" t="n">
        <v>165255</v>
      </c>
      <c r="I116" t="n">
        <v>16</v>
      </c>
    </row>
    <row r="117">
      <c r="A117" s="2" t="n">
        <v>46266</v>
      </c>
      <c r="B117" t="inlineStr">
        <is>
          <t>Service</t>
        </is>
      </c>
      <c r="C117" t="inlineStr">
        <is>
          <t>Kavya</t>
        </is>
      </c>
      <c r="D117" t="n">
        <v>305917</v>
      </c>
      <c r="E117" t="n">
        <v>345888</v>
      </c>
      <c r="F117" t="n">
        <v>176884</v>
      </c>
      <c r="G117" t="n">
        <v>64</v>
      </c>
      <c r="H117" t="n">
        <v>102756</v>
      </c>
      <c r="I117" t="n">
        <v>32</v>
      </c>
    </row>
    <row r="118">
      <c r="A118" s="2" t="n">
        <v>46266</v>
      </c>
      <c r="B118" t="inlineStr">
        <is>
          <t>Service</t>
        </is>
      </c>
      <c r="C118" t="inlineStr">
        <is>
          <t>Nikhil</t>
        </is>
      </c>
      <c r="D118" t="n">
        <v>257709</v>
      </c>
      <c r="E118" t="n">
        <v>273592</v>
      </c>
      <c r="F118" t="n">
        <v>119063</v>
      </c>
      <c r="G118" t="n">
        <v>55</v>
      </c>
      <c r="H118" t="n">
        <v>74788</v>
      </c>
      <c r="I118" t="n">
        <v>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14" customWidth="1" min="13" max="13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Employee</t>
        </is>
      </c>
      <c r="D1" s="1" t="inlineStr">
        <is>
          <t>Target</t>
        </is>
      </c>
      <c r="E1" s="1" t="inlineStr">
        <is>
          <t>Actual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Expenses</t>
        </is>
      </c>
      <c r="I1" s="1" t="inlineStr">
        <is>
          <t>Customers</t>
        </is>
      </c>
      <c r="J1" s="1" t="inlineStr">
        <is>
          <t>Achievement %</t>
        </is>
      </c>
      <c r="K1" s="1" t="inlineStr">
        <is>
          <t>Profit</t>
        </is>
      </c>
      <c r="L1" s="1" t="inlineStr">
        <is>
          <t>Profit Margin %</t>
        </is>
      </c>
      <c r="M1" s="1" t="inlineStr">
        <is>
          <t>Performance</t>
        </is>
      </c>
    </row>
    <row r="2">
      <c r="A2" s="3">
        <f>'Raw Data'!A2</f>
        <v/>
      </c>
      <c r="B2">
        <f>'Raw Data'!B2</f>
        <v/>
      </c>
      <c r="C2">
        <f>'Raw Data'!C2</f>
        <v/>
      </c>
      <c r="D2">
        <f>'Raw Data'!D2</f>
        <v/>
      </c>
      <c r="E2">
        <f>'Raw Data'!E2</f>
        <v/>
      </c>
      <c r="F2">
        <f>'Raw Data'!F2</f>
        <v/>
      </c>
      <c r="G2">
        <f>'Raw Data'!G2</f>
        <v/>
      </c>
      <c r="H2">
        <f>'Raw Data'!H2</f>
        <v/>
      </c>
      <c r="I2">
        <f>'Raw Data'!I2</f>
        <v/>
      </c>
      <c r="J2" s="4">
        <f>IFERROR(E2/D2,0)</f>
        <v/>
      </c>
      <c r="K2">
        <f>F2-H2</f>
        <v/>
      </c>
      <c r="L2" s="4">
        <f>IFERROR(K2/F2,0)</f>
        <v/>
      </c>
      <c r="M2">
        <f>IF(J2&gt;=1,"Achieved","Below Target")</f>
        <v/>
      </c>
    </row>
    <row r="3">
      <c r="A3" s="3">
        <f>'Raw Data'!A3</f>
        <v/>
      </c>
      <c r="B3">
        <f>'Raw Data'!B3</f>
        <v/>
      </c>
      <c r="C3">
        <f>'Raw Data'!C3</f>
        <v/>
      </c>
      <c r="D3">
        <f>'Raw Data'!D3</f>
        <v/>
      </c>
      <c r="E3">
        <f>'Raw Data'!E3</f>
        <v/>
      </c>
      <c r="F3">
        <f>'Raw Data'!F3</f>
        <v/>
      </c>
      <c r="G3">
        <f>'Raw Data'!G3</f>
        <v/>
      </c>
      <c r="H3">
        <f>'Raw Data'!H3</f>
        <v/>
      </c>
      <c r="I3">
        <f>'Raw Data'!I3</f>
        <v/>
      </c>
      <c r="J3" s="4">
        <f>IFERROR(E3/D3,0)</f>
        <v/>
      </c>
      <c r="K3">
        <f>F3-H3</f>
        <v/>
      </c>
      <c r="L3" s="4">
        <f>IFERROR(K3/F3,0)</f>
        <v/>
      </c>
      <c r="M3">
        <f>IF(J3&gt;=1,"Achieved","Below Target")</f>
        <v/>
      </c>
    </row>
    <row r="4">
      <c r="A4" s="3">
        <f>'Raw Data'!A4</f>
        <v/>
      </c>
      <c r="B4">
        <f>'Raw Data'!B4</f>
        <v/>
      </c>
      <c r="C4">
        <f>'Raw Data'!C4</f>
        <v/>
      </c>
      <c r="D4">
        <f>'Raw Data'!D4</f>
        <v/>
      </c>
      <c r="E4">
        <f>'Raw Data'!E4</f>
        <v/>
      </c>
      <c r="F4">
        <f>'Raw Data'!F4</f>
        <v/>
      </c>
      <c r="G4">
        <f>'Raw Data'!G4</f>
        <v/>
      </c>
      <c r="H4">
        <f>'Raw Data'!H4</f>
        <v/>
      </c>
      <c r="I4">
        <f>'Raw Data'!I4</f>
        <v/>
      </c>
      <c r="J4" s="4">
        <f>IFERROR(E4/D4,0)</f>
        <v/>
      </c>
      <c r="K4">
        <f>F4-H4</f>
        <v/>
      </c>
      <c r="L4" s="4">
        <f>IFERROR(K4/F4,0)</f>
        <v/>
      </c>
      <c r="M4">
        <f>IF(J4&gt;=1,"Achieved","Below Target")</f>
        <v/>
      </c>
    </row>
    <row r="5">
      <c r="A5" s="3">
        <f>'Raw Data'!A5</f>
        <v/>
      </c>
      <c r="B5">
        <f>'Raw Data'!B5</f>
        <v/>
      </c>
      <c r="C5">
        <f>'Raw Data'!C5</f>
        <v/>
      </c>
      <c r="D5">
        <f>'Raw Data'!D5</f>
        <v/>
      </c>
      <c r="E5">
        <f>'Raw Data'!E5</f>
        <v/>
      </c>
      <c r="F5">
        <f>'Raw Data'!F5</f>
        <v/>
      </c>
      <c r="G5">
        <f>'Raw Data'!G5</f>
        <v/>
      </c>
      <c r="H5">
        <f>'Raw Data'!H5</f>
        <v/>
      </c>
      <c r="I5">
        <f>'Raw Data'!I5</f>
        <v/>
      </c>
      <c r="J5" s="4">
        <f>IFERROR(E5/D5,0)</f>
        <v/>
      </c>
      <c r="K5">
        <f>F5-H5</f>
        <v/>
      </c>
      <c r="L5" s="4">
        <f>IFERROR(K5/F5,0)</f>
        <v/>
      </c>
      <c r="M5">
        <f>IF(J5&gt;=1,"Achieved","Below Target")</f>
        <v/>
      </c>
    </row>
    <row r="6">
      <c r="A6" s="3">
        <f>'Raw Data'!A6</f>
        <v/>
      </c>
      <c r="B6">
        <f>'Raw Data'!B6</f>
        <v/>
      </c>
      <c r="C6">
        <f>'Raw Data'!C6</f>
        <v/>
      </c>
      <c r="D6">
        <f>'Raw Data'!D6</f>
        <v/>
      </c>
      <c r="E6">
        <f>'Raw Data'!E6</f>
        <v/>
      </c>
      <c r="F6">
        <f>'Raw Data'!F6</f>
        <v/>
      </c>
      <c r="G6">
        <f>'Raw Data'!G6</f>
        <v/>
      </c>
      <c r="H6">
        <f>'Raw Data'!H6</f>
        <v/>
      </c>
      <c r="I6">
        <f>'Raw Data'!I6</f>
        <v/>
      </c>
      <c r="J6" s="4">
        <f>IFERROR(E6/D6,0)</f>
        <v/>
      </c>
      <c r="K6">
        <f>F6-H6</f>
        <v/>
      </c>
      <c r="L6" s="4">
        <f>IFERROR(K6/F6,0)</f>
        <v/>
      </c>
      <c r="M6">
        <f>IF(J6&gt;=1,"Achieved","Below Target")</f>
        <v/>
      </c>
    </row>
    <row r="7">
      <c r="A7" s="3">
        <f>'Raw Data'!A7</f>
        <v/>
      </c>
      <c r="B7">
        <f>'Raw Data'!B7</f>
        <v/>
      </c>
      <c r="C7">
        <f>'Raw Data'!C7</f>
        <v/>
      </c>
      <c r="D7">
        <f>'Raw Data'!D7</f>
        <v/>
      </c>
      <c r="E7">
        <f>'Raw Data'!E7</f>
        <v/>
      </c>
      <c r="F7">
        <f>'Raw Data'!F7</f>
        <v/>
      </c>
      <c r="G7">
        <f>'Raw Data'!G7</f>
        <v/>
      </c>
      <c r="H7">
        <f>'Raw Data'!H7</f>
        <v/>
      </c>
      <c r="I7">
        <f>'Raw Data'!I7</f>
        <v/>
      </c>
      <c r="J7" s="4">
        <f>IFERROR(E7/D7,0)</f>
        <v/>
      </c>
      <c r="K7">
        <f>F7-H7</f>
        <v/>
      </c>
      <c r="L7" s="4">
        <f>IFERROR(K7/F7,0)</f>
        <v/>
      </c>
      <c r="M7">
        <f>IF(J7&gt;=1,"Achieved","Below Target")</f>
        <v/>
      </c>
    </row>
    <row r="8">
      <c r="A8" s="3">
        <f>'Raw Data'!A8</f>
        <v/>
      </c>
      <c r="B8">
        <f>'Raw Data'!B8</f>
        <v/>
      </c>
      <c r="C8">
        <f>'Raw Data'!C8</f>
        <v/>
      </c>
      <c r="D8">
        <f>'Raw Data'!D8</f>
        <v/>
      </c>
      <c r="E8">
        <f>'Raw Data'!E8</f>
        <v/>
      </c>
      <c r="F8">
        <f>'Raw Data'!F8</f>
        <v/>
      </c>
      <c r="G8">
        <f>'Raw Data'!G8</f>
        <v/>
      </c>
      <c r="H8">
        <f>'Raw Data'!H8</f>
        <v/>
      </c>
      <c r="I8">
        <f>'Raw Data'!I8</f>
        <v/>
      </c>
      <c r="J8" s="4">
        <f>IFERROR(E8/D8,0)</f>
        <v/>
      </c>
      <c r="K8">
        <f>F8-H8</f>
        <v/>
      </c>
      <c r="L8" s="4">
        <f>IFERROR(K8/F8,0)</f>
        <v/>
      </c>
      <c r="M8">
        <f>IF(J8&gt;=1,"Achieved","Below Target")</f>
        <v/>
      </c>
    </row>
    <row r="9">
      <c r="A9" s="3">
        <f>'Raw Data'!A9</f>
        <v/>
      </c>
      <c r="B9">
        <f>'Raw Data'!B9</f>
        <v/>
      </c>
      <c r="C9">
        <f>'Raw Data'!C9</f>
        <v/>
      </c>
      <c r="D9">
        <f>'Raw Data'!D9</f>
        <v/>
      </c>
      <c r="E9">
        <f>'Raw Data'!E9</f>
        <v/>
      </c>
      <c r="F9">
        <f>'Raw Data'!F9</f>
        <v/>
      </c>
      <c r="G9">
        <f>'Raw Data'!G9</f>
        <v/>
      </c>
      <c r="H9">
        <f>'Raw Data'!H9</f>
        <v/>
      </c>
      <c r="I9">
        <f>'Raw Data'!I9</f>
        <v/>
      </c>
      <c r="J9" s="4">
        <f>IFERROR(E9/D9,0)</f>
        <v/>
      </c>
      <c r="K9">
        <f>F9-H9</f>
        <v/>
      </c>
      <c r="L9" s="4">
        <f>IFERROR(K9/F9,0)</f>
        <v/>
      </c>
      <c r="M9">
        <f>IF(J9&gt;=1,"Achieved","Below Target")</f>
        <v/>
      </c>
    </row>
    <row r="10">
      <c r="A10" s="3">
        <f>'Raw Data'!A10</f>
        <v/>
      </c>
      <c r="B10">
        <f>'Raw Data'!B10</f>
        <v/>
      </c>
      <c r="C10">
        <f>'Raw Data'!C10</f>
        <v/>
      </c>
      <c r="D10">
        <f>'Raw Data'!D10</f>
        <v/>
      </c>
      <c r="E10">
        <f>'Raw Data'!E10</f>
        <v/>
      </c>
      <c r="F10">
        <f>'Raw Data'!F10</f>
        <v/>
      </c>
      <c r="G10">
        <f>'Raw Data'!G10</f>
        <v/>
      </c>
      <c r="H10">
        <f>'Raw Data'!H10</f>
        <v/>
      </c>
      <c r="I10">
        <f>'Raw Data'!I10</f>
        <v/>
      </c>
      <c r="J10" s="4">
        <f>IFERROR(E10/D10,0)</f>
        <v/>
      </c>
      <c r="K10">
        <f>F10-H10</f>
        <v/>
      </c>
      <c r="L10" s="4">
        <f>IFERROR(K10/F10,0)</f>
        <v/>
      </c>
      <c r="M10">
        <f>IF(J10&gt;=1,"Achieved","Below Target")</f>
        <v/>
      </c>
    </row>
    <row r="11">
      <c r="A11" s="3">
        <f>'Raw Data'!A11</f>
        <v/>
      </c>
      <c r="B11">
        <f>'Raw Data'!B11</f>
        <v/>
      </c>
      <c r="C11">
        <f>'Raw Data'!C11</f>
        <v/>
      </c>
      <c r="D11">
        <f>'Raw Data'!D11</f>
        <v/>
      </c>
      <c r="E11">
        <f>'Raw Data'!E11</f>
        <v/>
      </c>
      <c r="F11">
        <f>'Raw Data'!F11</f>
        <v/>
      </c>
      <c r="G11">
        <f>'Raw Data'!G11</f>
        <v/>
      </c>
      <c r="H11">
        <f>'Raw Data'!H11</f>
        <v/>
      </c>
      <c r="I11">
        <f>'Raw Data'!I11</f>
        <v/>
      </c>
      <c r="J11" s="4">
        <f>IFERROR(E11/D11,0)</f>
        <v/>
      </c>
      <c r="K11">
        <f>F11-H11</f>
        <v/>
      </c>
      <c r="L11" s="4">
        <f>IFERROR(K11/F11,0)</f>
        <v/>
      </c>
      <c r="M11">
        <f>IF(J11&gt;=1,"Achieved","Below Target")</f>
        <v/>
      </c>
    </row>
    <row r="12">
      <c r="A12" s="3">
        <f>'Raw Data'!A12</f>
        <v/>
      </c>
      <c r="B12">
        <f>'Raw Data'!B12</f>
        <v/>
      </c>
      <c r="C12">
        <f>'Raw Data'!C12</f>
        <v/>
      </c>
      <c r="D12">
        <f>'Raw Data'!D12</f>
        <v/>
      </c>
      <c r="E12">
        <f>'Raw Data'!E12</f>
        <v/>
      </c>
      <c r="F12">
        <f>'Raw Data'!F12</f>
        <v/>
      </c>
      <c r="G12">
        <f>'Raw Data'!G12</f>
        <v/>
      </c>
      <c r="H12">
        <f>'Raw Data'!H12</f>
        <v/>
      </c>
      <c r="I12">
        <f>'Raw Data'!I12</f>
        <v/>
      </c>
      <c r="J12" s="4">
        <f>IFERROR(E12/D12,0)</f>
        <v/>
      </c>
      <c r="K12">
        <f>F12-H12</f>
        <v/>
      </c>
      <c r="L12" s="4">
        <f>IFERROR(K12/F12,0)</f>
        <v/>
      </c>
      <c r="M12">
        <f>IF(J12&gt;=1,"Achieved","Below Target")</f>
        <v/>
      </c>
    </row>
    <row r="13">
      <c r="A13" s="3">
        <f>'Raw Data'!A13</f>
        <v/>
      </c>
      <c r="B13">
        <f>'Raw Data'!B13</f>
        <v/>
      </c>
      <c r="C13">
        <f>'Raw Data'!C13</f>
        <v/>
      </c>
      <c r="D13">
        <f>'Raw Data'!D13</f>
        <v/>
      </c>
      <c r="E13">
        <f>'Raw Data'!E13</f>
        <v/>
      </c>
      <c r="F13">
        <f>'Raw Data'!F13</f>
        <v/>
      </c>
      <c r="G13">
        <f>'Raw Data'!G13</f>
        <v/>
      </c>
      <c r="H13">
        <f>'Raw Data'!H13</f>
        <v/>
      </c>
      <c r="I13">
        <f>'Raw Data'!I13</f>
        <v/>
      </c>
      <c r="J13" s="4">
        <f>IFERROR(E13/D13,0)</f>
        <v/>
      </c>
      <c r="K13">
        <f>F13-H13</f>
        <v/>
      </c>
      <c r="L13" s="4">
        <f>IFERROR(K13/F13,0)</f>
        <v/>
      </c>
      <c r="M13">
        <f>IF(J13&gt;=1,"Achieved","Below Target")</f>
        <v/>
      </c>
    </row>
    <row r="14">
      <c r="A14" s="3">
        <f>'Raw Data'!A14</f>
        <v/>
      </c>
      <c r="B14">
        <f>'Raw Data'!B14</f>
        <v/>
      </c>
      <c r="C14">
        <f>'Raw Data'!C14</f>
        <v/>
      </c>
      <c r="D14">
        <f>'Raw Data'!D14</f>
        <v/>
      </c>
      <c r="E14">
        <f>'Raw Data'!E14</f>
        <v/>
      </c>
      <c r="F14">
        <f>'Raw Data'!F14</f>
        <v/>
      </c>
      <c r="G14">
        <f>'Raw Data'!G14</f>
        <v/>
      </c>
      <c r="H14">
        <f>'Raw Data'!H14</f>
        <v/>
      </c>
      <c r="I14">
        <f>'Raw Data'!I14</f>
        <v/>
      </c>
      <c r="J14" s="4">
        <f>IFERROR(E14/D14,0)</f>
        <v/>
      </c>
      <c r="K14">
        <f>F14-H14</f>
        <v/>
      </c>
      <c r="L14" s="4">
        <f>IFERROR(K14/F14,0)</f>
        <v/>
      </c>
      <c r="M14">
        <f>IF(J14&gt;=1,"Achieved","Below Target")</f>
        <v/>
      </c>
    </row>
    <row r="15">
      <c r="A15" s="3">
        <f>'Raw Data'!A15</f>
        <v/>
      </c>
      <c r="B15">
        <f>'Raw Data'!B15</f>
        <v/>
      </c>
      <c r="C15">
        <f>'Raw Data'!C15</f>
        <v/>
      </c>
      <c r="D15">
        <f>'Raw Data'!D15</f>
        <v/>
      </c>
      <c r="E15">
        <f>'Raw Data'!E15</f>
        <v/>
      </c>
      <c r="F15">
        <f>'Raw Data'!F15</f>
        <v/>
      </c>
      <c r="G15">
        <f>'Raw Data'!G15</f>
        <v/>
      </c>
      <c r="H15">
        <f>'Raw Data'!H15</f>
        <v/>
      </c>
      <c r="I15">
        <f>'Raw Data'!I15</f>
        <v/>
      </c>
      <c r="J15" s="4">
        <f>IFERROR(E15/D15,0)</f>
        <v/>
      </c>
      <c r="K15">
        <f>F15-H15</f>
        <v/>
      </c>
      <c r="L15" s="4">
        <f>IFERROR(K15/F15,0)</f>
        <v/>
      </c>
      <c r="M15">
        <f>IF(J15&gt;=1,"Achieved","Below Target")</f>
        <v/>
      </c>
    </row>
    <row r="16">
      <c r="A16" s="3">
        <f>'Raw Data'!A16</f>
        <v/>
      </c>
      <c r="B16">
        <f>'Raw Data'!B16</f>
        <v/>
      </c>
      <c r="C16">
        <f>'Raw Data'!C16</f>
        <v/>
      </c>
      <c r="D16">
        <f>'Raw Data'!D16</f>
        <v/>
      </c>
      <c r="E16">
        <f>'Raw Data'!E16</f>
        <v/>
      </c>
      <c r="F16">
        <f>'Raw Data'!F16</f>
        <v/>
      </c>
      <c r="G16">
        <f>'Raw Data'!G16</f>
        <v/>
      </c>
      <c r="H16">
        <f>'Raw Data'!H16</f>
        <v/>
      </c>
      <c r="I16">
        <f>'Raw Data'!I16</f>
        <v/>
      </c>
      <c r="J16" s="4">
        <f>IFERROR(E16/D16,0)</f>
        <v/>
      </c>
      <c r="K16">
        <f>F16-H16</f>
        <v/>
      </c>
      <c r="L16" s="4">
        <f>IFERROR(K16/F16,0)</f>
        <v/>
      </c>
      <c r="M16">
        <f>IF(J16&gt;=1,"Achieved","Below Target")</f>
        <v/>
      </c>
    </row>
    <row r="17">
      <c r="A17" s="3">
        <f>'Raw Data'!A17</f>
        <v/>
      </c>
      <c r="B17">
        <f>'Raw Data'!B17</f>
        <v/>
      </c>
      <c r="C17">
        <f>'Raw Data'!C17</f>
        <v/>
      </c>
      <c r="D17">
        <f>'Raw Data'!D17</f>
        <v/>
      </c>
      <c r="E17">
        <f>'Raw Data'!E17</f>
        <v/>
      </c>
      <c r="F17">
        <f>'Raw Data'!F17</f>
        <v/>
      </c>
      <c r="G17">
        <f>'Raw Data'!G17</f>
        <v/>
      </c>
      <c r="H17">
        <f>'Raw Data'!H17</f>
        <v/>
      </c>
      <c r="I17">
        <f>'Raw Data'!I17</f>
        <v/>
      </c>
      <c r="J17" s="4">
        <f>IFERROR(E17/D17,0)</f>
        <v/>
      </c>
      <c r="K17">
        <f>F17-H17</f>
        <v/>
      </c>
      <c r="L17" s="4">
        <f>IFERROR(K17/F17,0)</f>
        <v/>
      </c>
      <c r="M17">
        <f>IF(J17&gt;=1,"Achieved","Below Target")</f>
        <v/>
      </c>
    </row>
    <row r="18">
      <c r="A18" s="3">
        <f>'Raw Data'!A18</f>
        <v/>
      </c>
      <c r="B18">
        <f>'Raw Data'!B18</f>
        <v/>
      </c>
      <c r="C18">
        <f>'Raw Data'!C18</f>
        <v/>
      </c>
      <c r="D18">
        <f>'Raw Data'!D18</f>
        <v/>
      </c>
      <c r="E18">
        <f>'Raw Data'!E18</f>
        <v/>
      </c>
      <c r="F18">
        <f>'Raw Data'!F18</f>
        <v/>
      </c>
      <c r="G18">
        <f>'Raw Data'!G18</f>
        <v/>
      </c>
      <c r="H18">
        <f>'Raw Data'!H18</f>
        <v/>
      </c>
      <c r="I18">
        <f>'Raw Data'!I18</f>
        <v/>
      </c>
      <c r="J18" s="4">
        <f>IFERROR(E18/D18,0)</f>
        <v/>
      </c>
      <c r="K18">
        <f>F18-H18</f>
        <v/>
      </c>
      <c r="L18" s="4">
        <f>IFERROR(K18/F18,0)</f>
        <v/>
      </c>
      <c r="M18">
        <f>IF(J18&gt;=1,"Achieved","Below Target")</f>
        <v/>
      </c>
    </row>
    <row r="19">
      <c r="A19" s="3">
        <f>'Raw Data'!A19</f>
        <v/>
      </c>
      <c r="B19">
        <f>'Raw Data'!B19</f>
        <v/>
      </c>
      <c r="C19">
        <f>'Raw Data'!C19</f>
        <v/>
      </c>
      <c r="D19">
        <f>'Raw Data'!D19</f>
        <v/>
      </c>
      <c r="E19">
        <f>'Raw Data'!E19</f>
        <v/>
      </c>
      <c r="F19">
        <f>'Raw Data'!F19</f>
        <v/>
      </c>
      <c r="G19">
        <f>'Raw Data'!G19</f>
        <v/>
      </c>
      <c r="H19">
        <f>'Raw Data'!H19</f>
        <v/>
      </c>
      <c r="I19">
        <f>'Raw Data'!I19</f>
        <v/>
      </c>
      <c r="J19" s="4">
        <f>IFERROR(E19/D19,0)</f>
        <v/>
      </c>
      <c r="K19">
        <f>F19-H19</f>
        <v/>
      </c>
      <c r="L19" s="4">
        <f>IFERROR(K19/F19,0)</f>
        <v/>
      </c>
      <c r="M19">
        <f>IF(J19&gt;=1,"Achieved","Below Target")</f>
        <v/>
      </c>
    </row>
    <row r="20">
      <c r="A20" s="3">
        <f>'Raw Data'!A20</f>
        <v/>
      </c>
      <c r="B20">
        <f>'Raw Data'!B20</f>
        <v/>
      </c>
      <c r="C20">
        <f>'Raw Data'!C20</f>
        <v/>
      </c>
      <c r="D20">
        <f>'Raw Data'!D20</f>
        <v/>
      </c>
      <c r="E20">
        <f>'Raw Data'!E20</f>
        <v/>
      </c>
      <c r="F20">
        <f>'Raw Data'!F20</f>
        <v/>
      </c>
      <c r="G20">
        <f>'Raw Data'!G20</f>
        <v/>
      </c>
      <c r="H20">
        <f>'Raw Data'!H20</f>
        <v/>
      </c>
      <c r="I20">
        <f>'Raw Data'!I20</f>
        <v/>
      </c>
      <c r="J20" s="4">
        <f>IFERROR(E20/D20,0)</f>
        <v/>
      </c>
      <c r="K20">
        <f>F20-H20</f>
        <v/>
      </c>
      <c r="L20" s="4">
        <f>IFERROR(K20/F20,0)</f>
        <v/>
      </c>
      <c r="M20">
        <f>IF(J20&gt;=1,"Achieved","Below Target")</f>
        <v/>
      </c>
    </row>
    <row r="21">
      <c r="A21" s="3">
        <f>'Raw Data'!A21</f>
        <v/>
      </c>
      <c r="B21">
        <f>'Raw Data'!B21</f>
        <v/>
      </c>
      <c r="C21">
        <f>'Raw Data'!C21</f>
        <v/>
      </c>
      <c r="D21">
        <f>'Raw Data'!D21</f>
        <v/>
      </c>
      <c r="E21">
        <f>'Raw Data'!E21</f>
        <v/>
      </c>
      <c r="F21">
        <f>'Raw Data'!F21</f>
        <v/>
      </c>
      <c r="G21">
        <f>'Raw Data'!G21</f>
        <v/>
      </c>
      <c r="H21">
        <f>'Raw Data'!H21</f>
        <v/>
      </c>
      <c r="I21">
        <f>'Raw Data'!I21</f>
        <v/>
      </c>
      <c r="J21" s="4">
        <f>IFERROR(E21/D21,0)</f>
        <v/>
      </c>
      <c r="K21">
        <f>F21-H21</f>
        <v/>
      </c>
      <c r="L21" s="4">
        <f>IFERROR(K21/F21,0)</f>
        <v/>
      </c>
      <c r="M21">
        <f>IF(J21&gt;=1,"Achieved","Below Target")</f>
        <v/>
      </c>
    </row>
    <row r="22">
      <c r="A22" s="3">
        <f>'Raw Data'!A22</f>
        <v/>
      </c>
      <c r="B22">
        <f>'Raw Data'!B22</f>
        <v/>
      </c>
      <c r="C22">
        <f>'Raw Data'!C22</f>
        <v/>
      </c>
      <c r="D22">
        <f>'Raw Data'!D22</f>
        <v/>
      </c>
      <c r="E22">
        <f>'Raw Data'!E22</f>
        <v/>
      </c>
      <c r="F22">
        <f>'Raw Data'!F22</f>
        <v/>
      </c>
      <c r="G22">
        <f>'Raw Data'!G22</f>
        <v/>
      </c>
      <c r="H22">
        <f>'Raw Data'!H22</f>
        <v/>
      </c>
      <c r="I22">
        <f>'Raw Data'!I22</f>
        <v/>
      </c>
      <c r="J22" s="4">
        <f>IFERROR(E22/D22,0)</f>
        <v/>
      </c>
      <c r="K22">
        <f>F22-H22</f>
        <v/>
      </c>
      <c r="L22" s="4">
        <f>IFERROR(K22/F22,0)</f>
        <v/>
      </c>
      <c r="M22">
        <f>IF(J22&gt;=1,"Achieved","Below Target")</f>
        <v/>
      </c>
    </row>
    <row r="23">
      <c r="A23" s="3">
        <f>'Raw Data'!A23</f>
        <v/>
      </c>
      <c r="B23">
        <f>'Raw Data'!B23</f>
        <v/>
      </c>
      <c r="C23">
        <f>'Raw Data'!C23</f>
        <v/>
      </c>
      <c r="D23">
        <f>'Raw Data'!D23</f>
        <v/>
      </c>
      <c r="E23">
        <f>'Raw Data'!E23</f>
        <v/>
      </c>
      <c r="F23">
        <f>'Raw Data'!F23</f>
        <v/>
      </c>
      <c r="G23">
        <f>'Raw Data'!G23</f>
        <v/>
      </c>
      <c r="H23">
        <f>'Raw Data'!H23</f>
        <v/>
      </c>
      <c r="I23">
        <f>'Raw Data'!I23</f>
        <v/>
      </c>
      <c r="J23" s="4">
        <f>IFERROR(E23/D23,0)</f>
        <v/>
      </c>
      <c r="K23">
        <f>F23-H23</f>
        <v/>
      </c>
      <c r="L23" s="4">
        <f>IFERROR(K23/F23,0)</f>
        <v/>
      </c>
      <c r="M23">
        <f>IF(J23&gt;=1,"Achieved","Below Target")</f>
        <v/>
      </c>
    </row>
    <row r="24">
      <c r="A24" s="3">
        <f>'Raw Data'!A24</f>
        <v/>
      </c>
      <c r="B24">
        <f>'Raw Data'!B24</f>
        <v/>
      </c>
      <c r="C24">
        <f>'Raw Data'!C24</f>
        <v/>
      </c>
      <c r="D24">
        <f>'Raw Data'!D24</f>
        <v/>
      </c>
      <c r="E24">
        <f>'Raw Data'!E24</f>
        <v/>
      </c>
      <c r="F24">
        <f>'Raw Data'!F24</f>
        <v/>
      </c>
      <c r="G24">
        <f>'Raw Data'!G24</f>
        <v/>
      </c>
      <c r="H24">
        <f>'Raw Data'!H24</f>
        <v/>
      </c>
      <c r="I24">
        <f>'Raw Data'!I24</f>
        <v/>
      </c>
      <c r="J24" s="4">
        <f>IFERROR(E24/D24,0)</f>
        <v/>
      </c>
      <c r="K24">
        <f>F24-H24</f>
        <v/>
      </c>
      <c r="L24" s="4">
        <f>IFERROR(K24/F24,0)</f>
        <v/>
      </c>
      <c r="M24">
        <f>IF(J24&gt;=1,"Achieved","Below Target")</f>
        <v/>
      </c>
    </row>
    <row r="25">
      <c r="A25" s="3">
        <f>'Raw Data'!A25</f>
        <v/>
      </c>
      <c r="B25">
        <f>'Raw Data'!B25</f>
        <v/>
      </c>
      <c r="C25">
        <f>'Raw Data'!C25</f>
        <v/>
      </c>
      <c r="D25">
        <f>'Raw Data'!D25</f>
        <v/>
      </c>
      <c r="E25">
        <f>'Raw Data'!E25</f>
        <v/>
      </c>
      <c r="F25">
        <f>'Raw Data'!F25</f>
        <v/>
      </c>
      <c r="G25">
        <f>'Raw Data'!G25</f>
        <v/>
      </c>
      <c r="H25">
        <f>'Raw Data'!H25</f>
        <v/>
      </c>
      <c r="I25">
        <f>'Raw Data'!I25</f>
        <v/>
      </c>
      <c r="J25" s="4">
        <f>IFERROR(E25/D25,0)</f>
        <v/>
      </c>
      <c r="K25">
        <f>F25-H25</f>
        <v/>
      </c>
      <c r="L25" s="4">
        <f>IFERROR(K25/F25,0)</f>
        <v/>
      </c>
      <c r="M25">
        <f>IF(J25&gt;=1,"Achieved","Below Target")</f>
        <v/>
      </c>
    </row>
    <row r="26">
      <c r="A26" s="3">
        <f>'Raw Data'!A26</f>
        <v/>
      </c>
      <c r="B26">
        <f>'Raw Data'!B26</f>
        <v/>
      </c>
      <c r="C26">
        <f>'Raw Data'!C26</f>
        <v/>
      </c>
      <c r="D26">
        <f>'Raw Data'!D26</f>
        <v/>
      </c>
      <c r="E26">
        <f>'Raw Data'!E26</f>
        <v/>
      </c>
      <c r="F26">
        <f>'Raw Data'!F26</f>
        <v/>
      </c>
      <c r="G26">
        <f>'Raw Data'!G26</f>
        <v/>
      </c>
      <c r="H26">
        <f>'Raw Data'!H26</f>
        <v/>
      </c>
      <c r="I26">
        <f>'Raw Data'!I26</f>
        <v/>
      </c>
      <c r="J26" s="4">
        <f>IFERROR(E26/D26,0)</f>
        <v/>
      </c>
      <c r="K26">
        <f>F26-H26</f>
        <v/>
      </c>
      <c r="L26" s="4">
        <f>IFERROR(K26/F26,0)</f>
        <v/>
      </c>
      <c r="M26">
        <f>IF(J26&gt;=1,"Achieved","Below Target")</f>
        <v/>
      </c>
    </row>
    <row r="27">
      <c r="A27" s="3">
        <f>'Raw Data'!A27</f>
        <v/>
      </c>
      <c r="B27">
        <f>'Raw Data'!B27</f>
        <v/>
      </c>
      <c r="C27">
        <f>'Raw Data'!C27</f>
        <v/>
      </c>
      <c r="D27">
        <f>'Raw Data'!D27</f>
        <v/>
      </c>
      <c r="E27">
        <f>'Raw Data'!E27</f>
        <v/>
      </c>
      <c r="F27">
        <f>'Raw Data'!F27</f>
        <v/>
      </c>
      <c r="G27">
        <f>'Raw Data'!G27</f>
        <v/>
      </c>
      <c r="H27">
        <f>'Raw Data'!H27</f>
        <v/>
      </c>
      <c r="I27">
        <f>'Raw Data'!I27</f>
        <v/>
      </c>
      <c r="J27" s="4">
        <f>IFERROR(E27/D27,0)</f>
        <v/>
      </c>
      <c r="K27">
        <f>F27-H27</f>
        <v/>
      </c>
      <c r="L27" s="4">
        <f>IFERROR(K27/F27,0)</f>
        <v/>
      </c>
      <c r="M27">
        <f>IF(J27&gt;=1,"Achieved","Below Target")</f>
        <v/>
      </c>
    </row>
    <row r="28">
      <c r="A28" s="3">
        <f>'Raw Data'!A28</f>
        <v/>
      </c>
      <c r="B28">
        <f>'Raw Data'!B28</f>
        <v/>
      </c>
      <c r="C28">
        <f>'Raw Data'!C28</f>
        <v/>
      </c>
      <c r="D28">
        <f>'Raw Data'!D28</f>
        <v/>
      </c>
      <c r="E28">
        <f>'Raw Data'!E28</f>
        <v/>
      </c>
      <c r="F28">
        <f>'Raw Data'!F28</f>
        <v/>
      </c>
      <c r="G28">
        <f>'Raw Data'!G28</f>
        <v/>
      </c>
      <c r="H28">
        <f>'Raw Data'!H28</f>
        <v/>
      </c>
      <c r="I28">
        <f>'Raw Data'!I28</f>
        <v/>
      </c>
      <c r="J28" s="4">
        <f>IFERROR(E28/D28,0)</f>
        <v/>
      </c>
      <c r="K28">
        <f>F28-H28</f>
        <v/>
      </c>
      <c r="L28" s="4">
        <f>IFERROR(K28/F28,0)</f>
        <v/>
      </c>
      <c r="M28">
        <f>IF(J28&gt;=1,"Achieved","Below Target")</f>
        <v/>
      </c>
    </row>
    <row r="29">
      <c r="A29" s="3">
        <f>'Raw Data'!A29</f>
        <v/>
      </c>
      <c r="B29">
        <f>'Raw Data'!B29</f>
        <v/>
      </c>
      <c r="C29">
        <f>'Raw Data'!C29</f>
        <v/>
      </c>
      <c r="D29">
        <f>'Raw Data'!D29</f>
        <v/>
      </c>
      <c r="E29">
        <f>'Raw Data'!E29</f>
        <v/>
      </c>
      <c r="F29">
        <f>'Raw Data'!F29</f>
        <v/>
      </c>
      <c r="G29">
        <f>'Raw Data'!G29</f>
        <v/>
      </c>
      <c r="H29">
        <f>'Raw Data'!H29</f>
        <v/>
      </c>
      <c r="I29">
        <f>'Raw Data'!I29</f>
        <v/>
      </c>
      <c r="J29" s="4">
        <f>IFERROR(E29/D29,0)</f>
        <v/>
      </c>
      <c r="K29">
        <f>F29-H29</f>
        <v/>
      </c>
      <c r="L29" s="4">
        <f>IFERROR(K29/F29,0)</f>
        <v/>
      </c>
      <c r="M29">
        <f>IF(J29&gt;=1,"Achieved","Below Target")</f>
        <v/>
      </c>
    </row>
    <row r="30">
      <c r="A30" s="3">
        <f>'Raw Data'!A30</f>
        <v/>
      </c>
      <c r="B30">
        <f>'Raw Data'!B30</f>
        <v/>
      </c>
      <c r="C30">
        <f>'Raw Data'!C30</f>
        <v/>
      </c>
      <c r="D30">
        <f>'Raw Data'!D30</f>
        <v/>
      </c>
      <c r="E30">
        <f>'Raw Data'!E30</f>
        <v/>
      </c>
      <c r="F30">
        <f>'Raw Data'!F30</f>
        <v/>
      </c>
      <c r="G30">
        <f>'Raw Data'!G30</f>
        <v/>
      </c>
      <c r="H30">
        <f>'Raw Data'!H30</f>
        <v/>
      </c>
      <c r="I30">
        <f>'Raw Data'!I30</f>
        <v/>
      </c>
      <c r="J30" s="4">
        <f>IFERROR(E30/D30,0)</f>
        <v/>
      </c>
      <c r="K30">
        <f>F30-H30</f>
        <v/>
      </c>
      <c r="L30" s="4">
        <f>IFERROR(K30/F30,0)</f>
        <v/>
      </c>
      <c r="M30">
        <f>IF(J30&gt;=1,"Achieved","Below Target")</f>
        <v/>
      </c>
    </row>
    <row r="31">
      <c r="A31" s="3">
        <f>'Raw Data'!A31</f>
        <v/>
      </c>
      <c r="B31">
        <f>'Raw Data'!B31</f>
        <v/>
      </c>
      <c r="C31">
        <f>'Raw Data'!C31</f>
        <v/>
      </c>
      <c r="D31">
        <f>'Raw Data'!D31</f>
        <v/>
      </c>
      <c r="E31">
        <f>'Raw Data'!E31</f>
        <v/>
      </c>
      <c r="F31">
        <f>'Raw Data'!F31</f>
        <v/>
      </c>
      <c r="G31">
        <f>'Raw Data'!G31</f>
        <v/>
      </c>
      <c r="H31">
        <f>'Raw Data'!H31</f>
        <v/>
      </c>
      <c r="I31">
        <f>'Raw Data'!I31</f>
        <v/>
      </c>
      <c r="J31" s="4">
        <f>IFERROR(E31/D31,0)</f>
        <v/>
      </c>
      <c r="K31">
        <f>F31-H31</f>
        <v/>
      </c>
      <c r="L31" s="4">
        <f>IFERROR(K31/F31,0)</f>
        <v/>
      </c>
      <c r="M31">
        <f>IF(J31&gt;=1,"Achieved","Below Target")</f>
        <v/>
      </c>
    </row>
    <row r="32">
      <c r="A32" s="3">
        <f>'Raw Data'!A32</f>
        <v/>
      </c>
      <c r="B32">
        <f>'Raw Data'!B32</f>
        <v/>
      </c>
      <c r="C32">
        <f>'Raw Data'!C32</f>
        <v/>
      </c>
      <c r="D32">
        <f>'Raw Data'!D32</f>
        <v/>
      </c>
      <c r="E32">
        <f>'Raw Data'!E32</f>
        <v/>
      </c>
      <c r="F32">
        <f>'Raw Data'!F32</f>
        <v/>
      </c>
      <c r="G32">
        <f>'Raw Data'!G32</f>
        <v/>
      </c>
      <c r="H32">
        <f>'Raw Data'!H32</f>
        <v/>
      </c>
      <c r="I32">
        <f>'Raw Data'!I32</f>
        <v/>
      </c>
      <c r="J32" s="4">
        <f>IFERROR(E32/D32,0)</f>
        <v/>
      </c>
      <c r="K32">
        <f>F32-H32</f>
        <v/>
      </c>
      <c r="L32" s="4">
        <f>IFERROR(K32/F32,0)</f>
        <v/>
      </c>
      <c r="M32">
        <f>IF(J32&gt;=1,"Achieved","Below Target")</f>
        <v/>
      </c>
    </row>
    <row r="33">
      <c r="A33" s="3">
        <f>'Raw Data'!A33</f>
        <v/>
      </c>
      <c r="B33">
        <f>'Raw Data'!B33</f>
        <v/>
      </c>
      <c r="C33">
        <f>'Raw Data'!C33</f>
        <v/>
      </c>
      <c r="D33">
        <f>'Raw Data'!D33</f>
        <v/>
      </c>
      <c r="E33">
        <f>'Raw Data'!E33</f>
        <v/>
      </c>
      <c r="F33">
        <f>'Raw Data'!F33</f>
        <v/>
      </c>
      <c r="G33">
        <f>'Raw Data'!G33</f>
        <v/>
      </c>
      <c r="H33">
        <f>'Raw Data'!H33</f>
        <v/>
      </c>
      <c r="I33">
        <f>'Raw Data'!I33</f>
        <v/>
      </c>
      <c r="J33" s="4">
        <f>IFERROR(E33/D33,0)</f>
        <v/>
      </c>
      <c r="K33">
        <f>F33-H33</f>
        <v/>
      </c>
      <c r="L33" s="4">
        <f>IFERROR(K33/F33,0)</f>
        <v/>
      </c>
      <c r="M33">
        <f>IF(J33&gt;=1,"Achieved","Below Target")</f>
        <v/>
      </c>
    </row>
    <row r="34">
      <c r="A34" s="3">
        <f>'Raw Data'!A34</f>
        <v/>
      </c>
      <c r="B34">
        <f>'Raw Data'!B34</f>
        <v/>
      </c>
      <c r="C34">
        <f>'Raw Data'!C34</f>
        <v/>
      </c>
      <c r="D34">
        <f>'Raw Data'!D34</f>
        <v/>
      </c>
      <c r="E34">
        <f>'Raw Data'!E34</f>
        <v/>
      </c>
      <c r="F34">
        <f>'Raw Data'!F34</f>
        <v/>
      </c>
      <c r="G34">
        <f>'Raw Data'!G34</f>
        <v/>
      </c>
      <c r="H34">
        <f>'Raw Data'!H34</f>
        <v/>
      </c>
      <c r="I34">
        <f>'Raw Data'!I34</f>
        <v/>
      </c>
      <c r="J34" s="4">
        <f>IFERROR(E34/D34,0)</f>
        <v/>
      </c>
      <c r="K34">
        <f>F34-H34</f>
        <v/>
      </c>
      <c r="L34" s="4">
        <f>IFERROR(K34/F34,0)</f>
        <v/>
      </c>
      <c r="M34">
        <f>IF(J34&gt;=1,"Achieved","Below Target")</f>
        <v/>
      </c>
    </row>
    <row r="35">
      <c r="A35" s="3">
        <f>'Raw Data'!A35</f>
        <v/>
      </c>
      <c r="B35">
        <f>'Raw Data'!B35</f>
        <v/>
      </c>
      <c r="C35">
        <f>'Raw Data'!C35</f>
        <v/>
      </c>
      <c r="D35">
        <f>'Raw Data'!D35</f>
        <v/>
      </c>
      <c r="E35">
        <f>'Raw Data'!E35</f>
        <v/>
      </c>
      <c r="F35">
        <f>'Raw Data'!F35</f>
        <v/>
      </c>
      <c r="G35">
        <f>'Raw Data'!G35</f>
        <v/>
      </c>
      <c r="H35">
        <f>'Raw Data'!H35</f>
        <v/>
      </c>
      <c r="I35">
        <f>'Raw Data'!I35</f>
        <v/>
      </c>
      <c r="J35" s="4">
        <f>IFERROR(E35/D35,0)</f>
        <v/>
      </c>
      <c r="K35">
        <f>F35-H35</f>
        <v/>
      </c>
      <c r="L35" s="4">
        <f>IFERROR(K35/F35,0)</f>
        <v/>
      </c>
      <c r="M35">
        <f>IF(J35&gt;=1,"Achieved","Below Target")</f>
        <v/>
      </c>
    </row>
    <row r="36">
      <c r="A36" s="3">
        <f>'Raw Data'!A36</f>
        <v/>
      </c>
      <c r="B36">
        <f>'Raw Data'!B36</f>
        <v/>
      </c>
      <c r="C36">
        <f>'Raw Data'!C36</f>
        <v/>
      </c>
      <c r="D36">
        <f>'Raw Data'!D36</f>
        <v/>
      </c>
      <c r="E36">
        <f>'Raw Data'!E36</f>
        <v/>
      </c>
      <c r="F36">
        <f>'Raw Data'!F36</f>
        <v/>
      </c>
      <c r="G36">
        <f>'Raw Data'!G36</f>
        <v/>
      </c>
      <c r="H36">
        <f>'Raw Data'!H36</f>
        <v/>
      </c>
      <c r="I36">
        <f>'Raw Data'!I36</f>
        <v/>
      </c>
      <c r="J36" s="4">
        <f>IFERROR(E36/D36,0)</f>
        <v/>
      </c>
      <c r="K36">
        <f>F36-H36</f>
        <v/>
      </c>
      <c r="L36" s="4">
        <f>IFERROR(K36/F36,0)</f>
        <v/>
      </c>
      <c r="M36">
        <f>IF(J36&gt;=1,"Achieved","Below Target")</f>
        <v/>
      </c>
    </row>
    <row r="37">
      <c r="A37" s="3">
        <f>'Raw Data'!A37</f>
        <v/>
      </c>
      <c r="B37">
        <f>'Raw Data'!B37</f>
        <v/>
      </c>
      <c r="C37">
        <f>'Raw Data'!C37</f>
        <v/>
      </c>
      <c r="D37">
        <f>'Raw Data'!D37</f>
        <v/>
      </c>
      <c r="E37">
        <f>'Raw Data'!E37</f>
        <v/>
      </c>
      <c r="F37">
        <f>'Raw Data'!F37</f>
        <v/>
      </c>
      <c r="G37">
        <f>'Raw Data'!G37</f>
        <v/>
      </c>
      <c r="H37">
        <f>'Raw Data'!H37</f>
        <v/>
      </c>
      <c r="I37">
        <f>'Raw Data'!I37</f>
        <v/>
      </c>
      <c r="J37" s="4">
        <f>IFERROR(E37/D37,0)</f>
        <v/>
      </c>
      <c r="K37">
        <f>F37-H37</f>
        <v/>
      </c>
      <c r="L37" s="4">
        <f>IFERROR(K37/F37,0)</f>
        <v/>
      </c>
      <c r="M37">
        <f>IF(J37&gt;=1,"Achieved","Below Target")</f>
        <v/>
      </c>
    </row>
    <row r="38">
      <c r="A38" s="3">
        <f>'Raw Data'!A38</f>
        <v/>
      </c>
      <c r="B38">
        <f>'Raw Data'!B38</f>
        <v/>
      </c>
      <c r="C38">
        <f>'Raw Data'!C38</f>
        <v/>
      </c>
      <c r="D38">
        <f>'Raw Data'!D38</f>
        <v/>
      </c>
      <c r="E38">
        <f>'Raw Data'!E38</f>
        <v/>
      </c>
      <c r="F38">
        <f>'Raw Data'!F38</f>
        <v/>
      </c>
      <c r="G38">
        <f>'Raw Data'!G38</f>
        <v/>
      </c>
      <c r="H38">
        <f>'Raw Data'!H38</f>
        <v/>
      </c>
      <c r="I38">
        <f>'Raw Data'!I38</f>
        <v/>
      </c>
      <c r="J38" s="4">
        <f>IFERROR(E38/D38,0)</f>
        <v/>
      </c>
      <c r="K38">
        <f>F38-H38</f>
        <v/>
      </c>
      <c r="L38" s="4">
        <f>IFERROR(K38/F38,0)</f>
        <v/>
      </c>
      <c r="M38">
        <f>IF(J38&gt;=1,"Achieved","Below Target")</f>
        <v/>
      </c>
    </row>
    <row r="39">
      <c r="A39" s="3">
        <f>'Raw Data'!A39</f>
        <v/>
      </c>
      <c r="B39">
        <f>'Raw Data'!B39</f>
        <v/>
      </c>
      <c r="C39">
        <f>'Raw Data'!C39</f>
        <v/>
      </c>
      <c r="D39">
        <f>'Raw Data'!D39</f>
        <v/>
      </c>
      <c r="E39">
        <f>'Raw Data'!E39</f>
        <v/>
      </c>
      <c r="F39">
        <f>'Raw Data'!F39</f>
        <v/>
      </c>
      <c r="G39">
        <f>'Raw Data'!G39</f>
        <v/>
      </c>
      <c r="H39">
        <f>'Raw Data'!H39</f>
        <v/>
      </c>
      <c r="I39">
        <f>'Raw Data'!I39</f>
        <v/>
      </c>
      <c r="J39" s="4">
        <f>IFERROR(E39/D39,0)</f>
        <v/>
      </c>
      <c r="K39">
        <f>F39-H39</f>
        <v/>
      </c>
      <c r="L39" s="4">
        <f>IFERROR(K39/F39,0)</f>
        <v/>
      </c>
      <c r="M39">
        <f>IF(J39&gt;=1,"Achieved","Below Target")</f>
        <v/>
      </c>
    </row>
    <row r="40">
      <c r="A40" s="3">
        <f>'Raw Data'!A40</f>
        <v/>
      </c>
      <c r="B40">
        <f>'Raw Data'!B40</f>
        <v/>
      </c>
      <c r="C40">
        <f>'Raw Data'!C40</f>
        <v/>
      </c>
      <c r="D40">
        <f>'Raw Data'!D40</f>
        <v/>
      </c>
      <c r="E40">
        <f>'Raw Data'!E40</f>
        <v/>
      </c>
      <c r="F40">
        <f>'Raw Data'!F40</f>
        <v/>
      </c>
      <c r="G40">
        <f>'Raw Data'!G40</f>
        <v/>
      </c>
      <c r="H40">
        <f>'Raw Data'!H40</f>
        <v/>
      </c>
      <c r="I40">
        <f>'Raw Data'!I40</f>
        <v/>
      </c>
      <c r="J40" s="4">
        <f>IFERROR(E40/D40,0)</f>
        <v/>
      </c>
      <c r="K40">
        <f>F40-H40</f>
        <v/>
      </c>
      <c r="L40" s="4">
        <f>IFERROR(K40/F40,0)</f>
        <v/>
      </c>
      <c r="M40">
        <f>IF(J40&gt;=1,"Achieved","Below Target")</f>
        <v/>
      </c>
    </row>
    <row r="41">
      <c r="A41" s="3">
        <f>'Raw Data'!A41</f>
        <v/>
      </c>
      <c r="B41">
        <f>'Raw Data'!B41</f>
        <v/>
      </c>
      <c r="C41">
        <f>'Raw Data'!C41</f>
        <v/>
      </c>
      <c r="D41">
        <f>'Raw Data'!D41</f>
        <v/>
      </c>
      <c r="E41">
        <f>'Raw Data'!E41</f>
        <v/>
      </c>
      <c r="F41">
        <f>'Raw Data'!F41</f>
        <v/>
      </c>
      <c r="G41">
        <f>'Raw Data'!G41</f>
        <v/>
      </c>
      <c r="H41">
        <f>'Raw Data'!H41</f>
        <v/>
      </c>
      <c r="I41">
        <f>'Raw Data'!I41</f>
        <v/>
      </c>
      <c r="J41" s="4">
        <f>IFERROR(E41/D41,0)</f>
        <v/>
      </c>
      <c r="K41">
        <f>F41-H41</f>
        <v/>
      </c>
      <c r="L41" s="4">
        <f>IFERROR(K41/F41,0)</f>
        <v/>
      </c>
      <c r="M41">
        <f>IF(J41&gt;=1,"Achieved","Below Target")</f>
        <v/>
      </c>
    </row>
    <row r="42">
      <c r="A42" s="3">
        <f>'Raw Data'!A42</f>
        <v/>
      </c>
      <c r="B42">
        <f>'Raw Data'!B42</f>
        <v/>
      </c>
      <c r="C42">
        <f>'Raw Data'!C42</f>
        <v/>
      </c>
      <c r="D42">
        <f>'Raw Data'!D42</f>
        <v/>
      </c>
      <c r="E42">
        <f>'Raw Data'!E42</f>
        <v/>
      </c>
      <c r="F42">
        <f>'Raw Data'!F42</f>
        <v/>
      </c>
      <c r="G42">
        <f>'Raw Data'!G42</f>
        <v/>
      </c>
      <c r="H42">
        <f>'Raw Data'!H42</f>
        <v/>
      </c>
      <c r="I42">
        <f>'Raw Data'!I42</f>
        <v/>
      </c>
      <c r="J42" s="4">
        <f>IFERROR(E42/D42,0)</f>
        <v/>
      </c>
      <c r="K42">
        <f>F42-H42</f>
        <v/>
      </c>
      <c r="L42" s="4">
        <f>IFERROR(K42/F42,0)</f>
        <v/>
      </c>
      <c r="M42">
        <f>IF(J42&gt;=1,"Achieved","Below Target")</f>
        <v/>
      </c>
    </row>
    <row r="43">
      <c r="A43" s="3">
        <f>'Raw Data'!A43</f>
        <v/>
      </c>
      <c r="B43">
        <f>'Raw Data'!B43</f>
        <v/>
      </c>
      <c r="C43">
        <f>'Raw Data'!C43</f>
        <v/>
      </c>
      <c r="D43">
        <f>'Raw Data'!D43</f>
        <v/>
      </c>
      <c r="E43">
        <f>'Raw Data'!E43</f>
        <v/>
      </c>
      <c r="F43">
        <f>'Raw Data'!F43</f>
        <v/>
      </c>
      <c r="G43">
        <f>'Raw Data'!G43</f>
        <v/>
      </c>
      <c r="H43">
        <f>'Raw Data'!H43</f>
        <v/>
      </c>
      <c r="I43">
        <f>'Raw Data'!I43</f>
        <v/>
      </c>
      <c r="J43" s="4">
        <f>IFERROR(E43/D43,0)</f>
        <v/>
      </c>
      <c r="K43">
        <f>F43-H43</f>
        <v/>
      </c>
      <c r="L43" s="4">
        <f>IFERROR(K43/F43,0)</f>
        <v/>
      </c>
      <c r="M43">
        <f>IF(J43&gt;=1,"Achieved","Below Target")</f>
        <v/>
      </c>
    </row>
    <row r="44">
      <c r="A44" s="3">
        <f>'Raw Data'!A44</f>
        <v/>
      </c>
      <c r="B44">
        <f>'Raw Data'!B44</f>
        <v/>
      </c>
      <c r="C44">
        <f>'Raw Data'!C44</f>
        <v/>
      </c>
      <c r="D44">
        <f>'Raw Data'!D44</f>
        <v/>
      </c>
      <c r="E44">
        <f>'Raw Data'!E44</f>
        <v/>
      </c>
      <c r="F44">
        <f>'Raw Data'!F44</f>
        <v/>
      </c>
      <c r="G44">
        <f>'Raw Data'!G44</f>
        <v/>
      </c>
      <c r="H44">
        <f>'Raw Data'!H44</f>
        <v/>
      </c>
      <c r="I44">
        <f>'Raw Data'!I44</f>
        <v/>
      </c>
      <c r="J44" s="4">
        <f>IFERROR(E44/D44,0)</f>
        <v/>
      </c>
      <c r="K44">
        <f>F44-H44</f>
        <v/>
      </c>
      <c r="L44" s="4">
        <f>IFERROR(K44/F44,0)</f>
        <v/>
      </c>
      <c r="M44">
        <f>IF(J44&gt;=1,"Achieved","Below Target")</f>
        <v/>
      </c>
    </row>
    <row r="45">
      <c r="A45" s="3">
        <f>'Raw Data'!A45</f>
        <v/>
      </c>
      <c r="B45">
        <f>'Raw Data'!B45</f>
        <v/>
      </c>
      <c r="C45">
        <f>'Raw Data'!C45</f>
        <v/>
      </c>
      <c r="D45">
        <f>'Raw Data'!D45</f>
        <v/>
      </c>
      <c r="E45">
        <f>'Raw Data'!E45</f>
        <v/>
      </c>
      <c r="F45">
        <f>'Raw Data'!F45</f>
        <v/>
      </c>
      <c r="G45">
        <f>'Raw Data'!G45</f>
        <v/>
      </c>
      <c r="H45">
        <f>'Raw Data'!H45</f>
        <v/>
      </c>
      <c r="I45">
        <f>'Raw Data'!I45</f>
        <v/>
      </c>
      <c r="J45" s="4">
        <f>IFERROR(E45/D45,0)</f>
        <v/>
      </c>
      <c r="K45">
        <f>F45-H45</f>
        <v/>
      </c>
      <c r="L45" s="4">
        <f>IFERROR(K45/F45,0)</f>
        <v/>
      </c>
      <c r="M45">
        <f>IF(J45&gt;=1,"Achieved","Below Target")</f>
        <v/>
      </c>
    </row>
    <row r="46">
      <c r="A46" s="3">
        <f>'Raw Data'!A46</f>
        <v/>
      </c>
      <c r="B46">
        <f>'Raw Data'!B46</f>
        <v/>
      </c>
      <c r="C46">
        <f>'Raw Data'!C46</f>
        <v/>
      </c>
      <c r="D46">
        <f>'Raw Data'!D46</f>
        <v/>
      </c>
      <c r="E46">
        <f>'Raw Data'!E46</f>
        <v/>
      </c>
      <c r="F46">
        <f>'Raw Data'!F46</f>
        <v/>
      </c>
      <c r="G46">
        <f>'Raw Data'!G46</f>
        <v/>
      </c>
      <c r="H46">
        <f>'Raw Data'!H46</f>
        <v/>
      </c>
      <c r="I46">
        <f>'Raw Data'!I46</f>
        <v/>
      </c>
      <c r="J46" s="4">
        <f>IFERROR(E46/D46,0)</f>
        <v/>
      </c>
      <c r="K46">
        <f>F46-H46</f>
        <v/>
      </c>
      <c r="L46" s="4">
        <f>IFERROR(K46/F46,0)</f>
        <v/>
      </c>
      <c r="M46">
        <f>IF(J46&gt;=1,"Achieved","Below Target")</f>
        <v/>
      </c>
    </row>
    <row r="47">
      <c r="A47" s="3">
        <f>'Raw Data'!A47</f>
        <v/>
      </c>
      <c r="B47">
        <f>'Raw Data'!B47</f>
        <v/>
      </c>
      <c r="C47">
        <f>'Raw Data'!C47</f>
        <v/>
      </c>
      <c r="D47">
        <f>'Raw Data'!D47</f>
        <v/>
      </c>
      <c r="E47">
        <f>'Raw Data'!E47</f>
        <v/>
      </c>
      <c r="F47">
        <f>'Raw Data'!F47</f>
        <v/>
      </c>
      <c r="G47">
        <f>'Raw Data'!G47</f>
        <v/>
      </c>
      <c r="H47">
        <f>'Raw Data'!H47</f>
        <v/>
      </c>
      <c r="I47">
        <f>'Raw Data'!I47</f>
        <v/>
      </c>
      <c r="J47" s="4">
        <f>IFERROR(E47/D47,0)</f>
        <v/>
      </c>
      <c r="K47">
        <f>F47-H47</f>
        <v/>
      </c>
      <c r="L47" s="4">
        <f>IFERROR(K47/F47,0)</f>
        <v/>
      </c>
      <c r="M47">
        <f>IF(J47&gt;=1,"Achieved","Below Target")</f>
        <v/>
      </c>
    </row>
    <row r="48">
      <c r="A48" s="3">
        <f>'Raw Data'!A48</f>
        <v/>
      </c>
      <c r="B48">
        <f>'Raw Data'!B48</f>
        <v/>
      </c>
      <c r="C48">
        <f>'Raw Data'!C48</f>
        <v/>
      </c>
      <c r="D48">
        <f>'Raw Data'!D48</f>
        <v/>
      </c>
      <c r="E48">
        <f>'Raw Data'!E48</f>
        <v/>
      </c>
      <c r="F48">
        <f>'Raw Data'!F48</f>
        <v/>
      </c>
      <c r="G48">
        <f>'Raw Data'!G48</f>
        <v/>
      </c>
      <c r="H48">
        <f>'Raw Data'!H48</f>
        <v/>
      </c>
      <c r="I48">
        <f>'Raw Data'!I48</f>
        <v/>
      </c>
      <c r="J48" s="4">
        <f>IFERROR(E48/D48,0)</f>
        <v/>
      </c>
      <c r="K48">
        <f>F48-H48</f>
        <v/>
      </c>
      <c r="L48" s="4">
        <f>IFERROR(K48/F48,0)</f>
        <v/>
      </c>
      <c r="M48">
        <f>IF(J48&gt;=1,"Achieved","Below Target")</f>
        <v/>
      </c>
    </row>
    <row r="49">
      <c r="A49" s="3">
        <f>'Raw Data'!A49</f>
        <v/>
      </c>
      <c r="B49">
        <f>'Raw Data'!B49</f>
        <v/>
      </c>
      <c r="C49">
        <f>'Raw Data'!C49</f>
        <v/>
      </c>
      <c r="D49">
        <f>'Raw Data'!D49</f>
        <v/>
      </c>
      <c r="E49">
        <f>'Raw Data'!E49</f>
        <v/>
      </c>
      <c r="F49">
        <f>'Raw Data'!F49</f>
        <v/>
      </c>
      <c r="G49">
        <f>'Raw Data'!G49</f>
        <v/>
      </c>
      <c r="H49">
        <f>'Raw Data'!H49</f>
        <v/>
      </c>
      <c r="I49">
        <f>'Raw Data'!I49</f>
        <v/>
      </c>
      <c r="J49" s="4">
        <f>IFERROR(E49/D49,0)</f>
        <v/>
      </c>
      <c r="K49">
        <f>F49-H49</f>
        <v/>
      </c>
      <c r="L49" s="4">
        <f>IFERROR(K49/F49,0)</f>
        <v/>
      </c>
      <c r="M49">
        <f>IF(J49&gt;=1,"Achieved","Below Target")</f>
        <v/>
      </c>
    </row>
    <row r="50">
      <c r="A50" s="3">
        <f>'Raw Data'!A50</f>
        <v/>
      </c>
      <c r="B50">
        <f>'Raw Data'!B50</f>
        <v/>
      </c>
      <c r="C50">
        <f>'Raw Data'!C50</f>
        <v/>
      </c>
      <c r="D50">
        <f>'Raw Data'!D50</f>
        <v/>
      </c>
      <c r="E50">
        <f>'Raw Data'!E50</f>
        <v/>
      </c>
      <c r="F50">
        <f>'Raw Data'!F50</f>
        <v/>
      </c>
      <c r="G50">
        <f>'Raw Data'!G50</f>
        <v/>
      </c>
      <c r="H50">
        <f>'Raw Data'!H50</f>
        <v/>
      </c>
      <c r="I50">
        <f>'Raw Data'!I50</f>
        <v/>
      </c>
      <c r="J50" s="4">
        <f>IFERROR(E50/D50,0)</f>
        <v/>
      </c>
      <c r="K50">
        <f>F50-H50</f>
        <v/>
      </c>
      <c r="L50" s="4">
        <f>IFERROR(K50/F50,0)</f>
        <v/>
      </c>
      <c r="M50">
        <f>IF(J50&gt;=1,"Achieved","Below Target")</f>
        <v/>
      </c>
    </row>
    <row r="51">
      <c r="A51" s="3">
        <f>'Raw Data'!A51</f>
        <v/>
      </c>
      <c r="B51">
        <f>'Raw Data'!B51</f>
        <v/>
      </c>
      <c r="C51">
        <f>'Raw Data'!C51</f>
        <v/>
      </c>
      <c r="D51">
        <f>'Raw Data'!D51</f>
        <v/>
      </c>
      <c r="E51">
        <f>'Raw Data'!E51</f>
        <v/>
      </c>
      <c r="F51">
        <f>'Raw Data'!F51</f>
        <v/>
      </c>
      <c r="G51">
        <f>'Raw Data'!G51</f>
        <v/>
      </c>
      <c r="H51">
        <f>'Raw Data'!H51</f>
        <v/>
      </c>
      <c r="I51">
        <f>'Raw Data'!I51</f>
        <v/>
      </c>
      <c r="J51" s="4">
        <f>IFERROR(E51/D51,0)</f>
        <v/>
      </c>
      <c r="K51">
        <f>F51-H51</f>
        <v/>
      </c>
      <c r="L51" s="4">
        <f>IFERROR(K51/F51,0)</f>
        <v/>
      </c>
      <c r="M51">
        <f>IF(J51&gt;=1,"Achieved","Below Target")</f>
        <v/>
      </c>
    </row>
    <row r="52">
      <c r="A52" s="3">
        <f>'Raw Data'!A52</f>
        <v/>
      </c>
      <c r="B52">
        <f>'Raw Data'!B52</f>
        <v/>
      </c>
      <c r="C52">
        <f>'Raw Data'!C52</f>
        <v/>
      </c>
      <c r="D52">
        <f>'Raw Data'!D52</f>
        <v/>
      </c>
      <c r="E52">
        <f>'Raw Data'!E52</f>
        <v/>
      </c>
      <c r="F52">
        <f>'Raw Data'!F52</f>
        <v/>
      </c>
      <c r="G52">
        <f>'Raw Data'!G52</f>
        <v/>
      </c>
      <c r="H52">
        <f>'Raw Data'!H52</f>
        <v/>
      </c>
      <c r="I52">
        <f>'Raw Data'!I52</f>
        <v/>
      </c>
      <c r="J52" s="4">
        <f>IFERROR(E52/D52,0)</f>
        <v/>
      </c>
      <c r="K52">
        <f>F52-H52</f>
        <v/>
      </c>
      <c r="L52" s="4">
        <f>IFERROR(K52/F52,0)</f>
        <v/>
      </c>
      <c r="M52">
        <f>IF(J52&gt;=1,"Achieved","Below Target")</f>
        <v/>
      </c>
    </row>
    <row r="53">
      <c r="A53" s="3">
        <f>'Raw Data'!A53</f>
        <v/>
      </c>
      <c r="B53">
        <f>'Raw Data'!B53</f>
        <v/>
      </c>
      <c r="C53">
        <f>'Raw Data'!C53</f>
        <v/>
      </c>
      <c r="D53">
        <f>'Raw Data'!D53</f>
        <v/>
      </c>
      <c r="E53">
        <f>'Raw Data'!E53</f>
        <v/>
      </c>
      <c r="F53">
        <f>'Raw Data'!F53</f>
        <v/>
      </c>
      <c r="G53">
        <f>'Raw Data'!G53</f>
        <v/>
      </c>
      <c r="H53">
        <f>'Raw Data'!H53</f>
        <v/>
      </c>
      <c r="I53">
        <f>'Raw Data'!I53</f>
        <v/>
      </c>
      <c r="J53" s="4">
        <f>IFERROR(E53/D53,0)</f>
        <v/>
      </c>
      <c r="K53">
        <f>F53-H53</f>
        <v/>
      </c>
      <c r="L53" s="4">
        <f>IFERROR(K53/F53,0)</f>
        <v/>
      </c>
      <c r="M53">
        <f>IF(J53&gt;=1,"Achieved","Below Target")</f>
        <v/>
      </c>
    </row>
    <row r="54">
      <c r="A54" s="3">
        <f>'Raw Data'!A54</f>
        <v/>
      </c>
      <c r="B54">
        <f>'Raw Data'!B54</f>
        <v/>
      </c>
      <c r="C54">
        <f>'Raw Data'!C54</f>
        <v/>
      </c>
      <c r="D54">
        <f>'Raw Data'!D54</f>
        <v/>
      </c>
      <c r="E54">
        <f>'Raw Data'!E54</f>
        <v/>
      </c>
      <c r="F54">
        <f>'Raw Data'!F54</f>
        <v/>
      </c>
      <c r="G54">
        <f>'Raw Data'!G54</f>
        <v/>
      </c>
      <c r="H54">
        <f>'Raw Data'!H54</f>
        <v/>
      </c>
      <c r="I54">
        <f>'Raw Data'!I54</f>
        <v/>
      </c>
      <c r="J54" s="4">
        <f>IFERROR(E54/D54,0)</f>
        <v/>
      </c>
      <c r="K54">
        <f>F54-H54</f>
        <v/>
      </c>
      <c r="L54" s="4">
        <f>IFERROR(K54/F54,0)</f>
        <v/>
      </c>
      <c r="M54">
        <f>IF(J54&gt;=1,"Achieved","Below Target")</f>
        <v/>
      </c>
    </row>
    <row r="55">
      <c r="A55" s="3">
        <f>'Raw Data'!A55</f>
        <v/>
      </c>
      <c r="B55">
        <f>'Raw Data'!B55</f>
        <v/>
      </c>
      <c r="C55">
        <f>'Raw Data'!C55</f>
        <v/>
      </c>
      <c r="D55">
        <f>'Raw Data'!D55</f>
        <v/>
      </c>
      <c r="E55">
        <f>'Raw Data'!E55</f>
        <v/>
      </c>
      <c r="F55">
        <f>'Raw Data'!F55</f>
        <v/>
      </c>
      <c r="G55">
        <f>'Raw Data'!G55</f>
        <v/>
      </c>
      <c r="H55">
        <f>'Raw Data'!H55</f>
        <v/>
      </c>
      <c r="I55">
        <f>'Raw Data'!I55</f>
        <v/>
      </c>
      <c r="J55" s="4">
        <f>IFERROR(E55/D55,0)</f>
        <v/>
      </c>
      <c r="K55">
        <f>F55-H55</f>
        <v/>
      </c>
      <c r="L55" s="4">
        <f>IFERROR(K55/F55,0)</f>
        <v/>
      </c>
      <c r="M55">
        <f>IF(J55&gt;=1,"Achieved","Below Target")</f>
        <v/>
      </c>
    </row>
    <row r="56">
      <c r="A56" s="3">
        <f>'Raw Data'!A56</f>
        <v/>
      </c>
      <c r="B56">
        <f>'Raw Data'!B56</f>
        <v/>
      </c>
      <c r="C56">
        <f>'Raw Data'!C56</f>
        <v/>
      </c>
      <c r="D56">
        <f>'Raw Data'!D56</f>
        <v/>
      </c>
      <c r="E56">
        <f>'Raw Data'!E56</f>
        <v/>
      </c>
      <c r="F56">
        <f>'Raw Data'!F56</f>
        <v/>
      </c>
      <c r="G56">
        <f>'Raw Data'!G56</f>
        <v/>
      </c>
      <c r="H56">
        <f>'Raw Data'!H56</f>
        <v/>
      </c>
      <c r="I56">
        <f>'Raw Data'!I56</f>
        <v/>
      </c>
      <c r="J56" s="4">
        <f>IFERROR(E56/D56,0)</f>
        <v/>
      </c>
      <c r="K56">
        <f>F56-H56</f>
        <v/>
      </c>
      <c r="L56" s="4">
        <f>IFERROR(K56/F56,0)</f>
        <v/>
      </c>
      <c r="M56">
        <f>IF(J56&gt;=1,"Achieved","Below Target")</f>
        <v/>
      </c>
    </row>
    <row r="57">
      <c r="A57" s="3">
        <f>'Raw Data'!A57</f>
        <v/>
      </c>
      <c r="B57">
        <f>'Raw Data'!B57</f>
        <v/>
      </c>
      <c r="C57">
        <f>'Raw Data'!C57</f>
        <v/>
      </c>
      <c r="D57">
        <f>'Raw Data'!D57</f>
        <v/>
      </c>
      <c r="E57">
        <f>'Raw Data'!E57</f>
        <v/>
      </c>
      <c r="F57">
        <f>'Raw Data'!F57</f>
        <v/>
      </c>
      <c r="G57">
        <f>'Raw Data'!G57</f>
        <v/>
      </c>
      <c r="H57">
        <f>'Raw Data'!H57</f>
        <v/>
      </c>
      <c r="I57">
        <f>'Raw Data'!I57</f>
        <v/>
      </c>
      <c r="J57" s="4">
        <f>IFERROR(E57/D57,0)</f>
        <v/>
      </c>
      <c r="K57">
        <f>F57-H57</f>
        <v/>
      </c>
      <c r="L57" s="4">
        <f>IFERROR(K57/F57,0)</f>
        <v/>
      </c>
      <c r="M57">
        <f>IF(J57&gt;=1,"Achieved","Below Target")</f>
        <v/>
      </c>
    </row>
    <row r="58">
      <c r="A58" s="3">
        <f>'Raw Data'!A58</f>
        <v/>
      </c>
      <c r="B58">
        <f>'Raw Data'!B58</f>
        <v/>
      </c>
      <c r="C58">
        <f>'Raw Data'!C58</f>
        <v/>
      </c>
      <c r="D58">
        <f>'Raw Data'!D58</f>
        <v/>
      </c>
      <c r="E58">
        <f>'Raw Data'!E58</f>
        <v/>
      </c>
      <c r="F58">
        <f>'Raw Data'!F58</f>
        <v/>
      </c>
      <c r="G58">
        <f>'Raw Data'!G58</f>
        <v/>
      </c>
      <c r="H58">
        <f>'Raw Data'!H58</f>
        <v/>
      </c>
      <c r="I58">
        <f>'Raw Data'!I58</f>
        <v/>
      </c>
      <c r="J58" s="4">
        <f>IFERROR(E58/D58,0)</f>
        <v/>
      </c>
      <c r="K58">
        <f>F58-H58</f>
        <v/>
      </c>
      <c r="L58" s="4">
        <f>IFERROR(K58/F58,0)</f>
        <v/>
      </c>
      <c r="M58">
        <f>IF(J58&gt;=1,"Achieved","Below Target")</f>
        <v/>
      </c>
    </row>
    <row r="59">
      <c r="A59" s="3">
        <f>'Raw Data'!A59</f>
        <v/>
      </c>
      <c r="B59">
        <f>'Raw Data'!B59</f>
        <v/>
      </c>
      <c r="C59">
        <f>'Raw Data'!C59</f>
        <v/>
      </c>
      <c r="D59">
        <f>'Raw Data'!D59</f>
        <v/>
      </c>
      <c r="E59">
        <f>'Raw Data'!E59</f>
        <v/>
      </c>
      <c r="F59">
        <f>'Raw Data'!F59</f>
        <v/>
      </c>
      <c r="G59">
        <f>'Raw Data'!G59</f>
        <v/>
      </c>
      <c r="H59">
        <f>'Raw Data'!H59</f>
        <v/>
      </c>
      <c r="I59">
        <f>'Raw Data'!I59</f>
        <v/>
      </c>
      <c r="J59" s="4">
        <f>IFERROR(E59/D59,0)</f>
        <v/>
      </c>
      <c r="K59">
        <f>F59-H59</f>
        <v/>
      </c>
      <c r="L59" s="4">
        <f>IFERROR(K59/F59,0)</f>
        <v/>
      </c>
      <c r="M59">
        <f>IF(J59&gt;=1,"Achieved","Below Target")</f>
        <v/>
      </c>
    </row>
    <row r="60">
      <c r="A60" s="3">
        <f>'Raw Data'!A60</f>
        <v/>
      </c>
      <c r="B60">
        <f>'Raw Data'!B60</f>
        <v/>
      </c>
      <c r="C60">
        <f>'Raw Data'!C60</f>
        <v/>
      </c>
      <c r="D60">
        <f>'Raw Data'!D60</f>
        <v/>
      </c>
      <c r="E60">
        <f>'Raw Data'!E60</f>
        <v/>
      </c>
      <c r="F60">
        <f>'Raw Data'!F60</f>
        <v/>
      </c>
      <c r="G60">
        <f>'Raw Data'!G60</f>
        <v/>
      </c>
      <c r="H60">
        <f>'Raw Data'!H60</f>
        <v/>
      </c>
      <c r="I60">
        <f>'Raw Data'!I60</f>
        <v/>
      </c>
      <c r="J60" s="4">
        <f>IFERROR(E60/D60,0)</f>
        <v/>
      </c>
      <c r="K60">
        <f>F60-H60</f>
        <v/>
      </c>
      <c r="L60" s="4">
        <f>IFERROR(K60/F60,0)</f>
        <v/>
      </c>
      <c r="M60">
        <f>IF(J60&gt;=1,"Achieved","Below Target")</f>
        <v/>
      </c>
    </row>
    <row r="61">
      <c r="A61" s="3">
        <f>'Raw Data'!A61</f>
        <v/>
      </c>
      <c r="B61">
        <f>'Raw Data'!B61</f>
        <v/>
      </c>
      <c r="C61">
        <f>'Raw Data'!C61</f>
        <v/>
      </c>
      <c r="D61">
        <f>'Raw Data'!D61</f>
        <v/>
      </c>
      <c r="E61">
        <f>'Raw Data'!E61</f>
        <v/>
      </c>
      <c r="F61">
        <f>'Raw Data'!F61</f>
        <v/>
      </c>
      <c r="G61">
        <f>'Raw Data'!G61</f>
        <v/>
      </c>
      <c r="H61">
        <f>'Raw Data'!H61</f>
        <v/>
      </c>
      <c r="I61">
        <f>'Raw Data'!I61</f>
        <v/>
      </c>
      <c r="J61" s="4">
        <f>IFERROR(E61/D61,0)</f>
        <v/>
      </c>
      <c r="K61">
        <f>F61-H61</f>
        <v/>
      </c>
      <c r="L61" s="4">
        <f>IFERROR(K61/F61,0)</f>
        <v/>
      </c>
      <c r="M61">
        <f>IF(J61&gt;=1,"Achieved","Below Target")</f>
        <v/>
      </c>
    </row>
    <row r="62">
      <c r="A62" s="3">
        <f>'Raw Data'!A62</f>
        <v/>
      </c>
      <c r="B62">
        <f>'Raw Data'!B62</f>
        <v/>
      </c>
      <c r="C62">
        <f>'Raw Data'!C62</f>
        <v/>
      </c>
      <c r="D62">
        <f>'Raw Data'!D62</f>
        <v/>
      </c>
      <c r="E62">
        <f>'Raw Data'!E62</f>
        <v/>
      </c>
      <c r="F62">
        <f>'Raw Data'!F62</f>
        <v/>
      </c>
      <c r="G62">
        <f>'Raw Data'!G62</f>
        <v/>
      </c>
      <c r="H62">
        <f>'Raw Data'!H62</f>
        <v/>
      </c>
      <c r="I62">
        <f>'Raw Data'!I62</f>
        <v/>
      </c>
      <c r="J62" s="4">
        <f>IFERROR(E62/D62,0)</f>
        <v/>
      </c>
      <c r="K62">
        <f>F62-H62</f>
        <v/>
      </c>
      <c r="L62" s="4">
        <f>IFERROR(K62/F62,0)</f>
        <v/>
      </c>
      <c r="M62">
        <f>IF(J62&gt;=1,"Achieved","Below Target")</f>
        <v/>
      </c>
    </row>
    <row r="63">
      <c r="A63" s="3">
        <f>'Raw Data'!A63</f>
        <v/>
      </c>
      <c r="B63">
        <f>'Raw Data'!B63</f>
        <v/>
      </c>
      <c r="C63">
        <f>'Raw Data'!C63</f>
        <v/>
      </c>
      <c r="D63">
        <f>'Raw Data'!D63</f>
        <v/>
      </c>
      <c r="E63">
        <f>'Raw Data'!E63</f>
        <v/>
      </c>
      <c r="F63">
        <f>'Raw Data'!F63</f>
        <v/>
      </c>
      <c r="G63">
        <f>'Raw Data'!G63</f>
        <v/>
      </c>
      <c r="H63">
        <f>'Raw Data'!H63</f>
        <v/>
      </c>
      <c r="I63">
        <f>'Raw Data'!I63</f>
        <v/>
      </c>
      <c r="J63" s="4">
        <f>IFERROR(E63/D63,0)</f>
        <v/>
      </c>
      <c r="K63">
        <f>F63-H63</f>
        <v/>
      </c>
      <c r="L63" s="4">
        <f>IFERROR(K63/F63,0)</f>
        <v/>
      </c>
      <c r="M63">
        <f>IF(J63&gt;=1,"Achieved","Below Target")</f>
        <v/>
      </c>
    </row>
    <row r="64">
      <c r="A64" s="3">
        <f>'Raw Data'!A64</f>
        <v/>
      </c>
      <c r="B64">
        <f>'Raw Data'!B64</f>
        <v/>
      </c>
      <c r="C64">
        <f>'Raw Data'!C64</f>
        <v/>
      </c>
      <c r="D64">
        <f>'Raw Data'!D64</f>
        <v/>
      </c>
      <c r="E64">
        <f>'Raw Data'!E64</f>
        <v/>
      </c>
      <c r="F64">
        <f>'Raw Data'!F64</f>
        <v/>
      </c>
      <c r="G64">
        <f>'Raw Data'!G64</f>
        <v/>
      </c>
      <c r="H64">
        <f>'Raw Data'!H64</f>
        <v/>
      </c>
      <c r="I64">
        <f>'Raw Data'!I64</f>
        <v/>
      </c>
      <c r="J64" s="4">
        <f>IFERROR(E64/D64,0)</f>
        <v/>
      </c>
      <c r="K64">
        <f>F64-H64</f>
        <v/>
      </c>
      <c r="L64" s="4">
        <f>IFERROR(K64/F64,0)</f>
        <v/>
      </c>
      <c r="M64">
        <f>IF(J64&gt;=1,"Achieved","Below Target")</f>
        <v/>
      </c>
    </row>
    <row r="65">
      <c r="A65" s="3">
        <f>'Raw Data'!A65</f>
        <v/>
      </c>
      <c r="B65">
        <f>'Raw Data'!B65</f>
        <v/>
      </c>
      <c r="C65">
        <f>'Raw Data'!C65</f>
        <v/>
      </c>
      <c r="D65">
        <f>'Raw Data'!D65</f>
        <v/>
      </c>
      <c r="E65">
        <f>'Raw Data'!E65</f>
        <v/>
      </c>
      <c r="F65">
        <f>'Raw Data'!F65</f>
        <v/>
      </c>
      <c r="G65">
        <f>'Raw Data'!G65</f>
        <v/>
      </c>
      <c r="H65">
        <f>'Raw Data'!H65</f>
        <v/>
      </c>
      <c r="I65">
        <f>'Raw Data'!I65</f>
        <v/>
      </c>
      <c r="J65" s="4">
        <f>IFERROR(E65/D65,0)</f>
        <v/>
      </c>
      <c r="K65">
        <f>F65-H65</f>
        <v/>
      </c>
      <c r="L65" s="4">
        <f>IFERROR(K65/F65,0)</f>
        <v/>
      </c>
      <c r="M65">
        <f>IF(J65&gt;=1,"Achieved","Below Target")</f>
        <v/>
      </c>
    </row>
    <row r="66">
      <c r="A66" s="3">
        <f>'Raw Data'!A66</f>
        <v/>
      </c>
      <c r="B66">
        <f>'Raw Data'!B66</f>
        <v/>
      </c>
      <c r="C66">
        <f>'Raw Data'!C66</f>
        <v/>
      </c>
      <c r="D66">
        <f>'Raw Data'!D66</f>
        <v/>
      </c>
      <c r="E66">
        <f>'Raw Data'!E66</f>
        <v/>
      </c>
      <c r="F66">
        <f>'Raw Data'!F66</f>
        <v/>
      </c>
      <c r="G66">
        <f>'Raw Data'!G66</f>
        <v/>
      </c>
      <c r="H66">
        <f>'Raw Data'!H66</f>
        <v/>
      </c>
      <c r="I66">
        <f>'Raw Data'!I66</f>
        <v/>
      </c>
      <c r="J66" s="4">
        <f>IFERROR(E66/D66,0)</f>
        <v/>
      </c>
      <c r="K66">
        <f>F66-H66</f>
        <v/>
      </c>
      <c r="L66" s="4">
        <f>IFERROR(K66/F66,0)</f>
        <v/>
      </c>
      <c r="M66">
        <f>IF(J66&gt;=1,"Achieved","Below Target")</f>
        <v/>
      </c>
    </row>
    <row r="67">
      <c r="A67" s="3">
        <f>'Raw Data'!A67</f>
        <v/>
      </c>
      <c r="B67">
        <f>'Raw Data'!B67</f>
        <v/>
      </c>
      <c r="C67">
        <f>'Raw Data'!C67</f>
        <v/>
      </c>
      <c r="D67">
        <f>'Raw Data'!D67</f>
        <v/>
      </c>
      <c r="E67">
        <f>'Raw Data'!E67</f>
        <v/>
      </c>
      <c r="F67">
        <f>'Raw Data'!F67</f>
        <v/>
      </c>
      <c r="G67">
        <f>'Raw Data'!G67</f>
        <v/>
      </c>
      <c r="H67">
        <f>'Raw Data'!H67</f>
        <v/>
      </c>
      <c r="I67">
        <f>'Raw Data'!I67</f>
        <v/>
      </c>
      <c r="J67" s="4">
        <f>IFERROR(E67/D67,0)</f>
        <v/>
      </c>
      <c r="K67">
        <f>F67-H67</f>
        <v/>
      </c>
      <c r="L67" s="4">
        <f>IFERROR(K67/F67,0)</f>
        <v/>
      </c>
      <c r="M67">
        <f>IF(J67&gt;=1,"Achieved","Below Target")</f>
        <v/>
      </c>
    </row>
    <row r="68">
      <c r="A68" s="3">
        <f>'Raw Data'!A68</f>
        <v/>
      </c>
      <c r="B68">
        <f>'Raw Data'!B68</f>
        <v/>
      </c>
      <c r="C68">
        <f>'Raw Data'!C68</f>
        <v/>
      </c>
      <c r="D68">
        <f>'Raw Data'!D68</f>
        <v/>
      </c>
      <c r="E68">
        <f>'Raw Data'!E68</f>
        <v/>
      </c>
      <c r="F68">
        <f>'Raw Data'!F68</f>
        <v/>
      </c>
      <c r="G68">
        <f>'Raw Data'!G68</f>
        <v/>
      </c>
      <c r="H68">
        <f>'Raw Data'!H68</f>
        <v/>
      </c>
      <c r="I68">
        <f>'Raw Data'!I68</f>
        <v/>
      </c>
      <c r="J68" s="4">
        <f>IFERROR(E68/D68,0)</f>
        <v/>
      </c>
      <c r="K68">
        <f>F68-H68</f>
        <v/>
      </c>
      <c r="L68" s="4">
        <f>IFERROR(K68/F68,0)</f>
        <v/>
      </c>
      <c r="M68">
        <f>IF(J68&gt;=1,"Achieved","Below Target")</f>
        <v/>
      </c>
    </row>
    <row r="69">
      <c r="A69" s="3">
        <f>'Raw Data'!A69</f>
        <v/>
      </c>
      <c r="B69">
        <f>'Raw Data'!B69</f>
        <v/>
      </c>
      <c r="C69">
        <f>'Raw Data'!C69</f>
        <v/>
      </c>
      <c r="D69">
        <f>'Raw Data'!D69</f>
        <v/>
      </c>
      <c r="E69">
        <f>'Raw Data'!E69</f>
        <v/>
      </c>
      <c r="F69">
        <f>'Raw Data'!F69</f>
        <v/>
      </c>
      <c r="G69">
        <f>'Raw Data'!G69</f>
        <v/>
      </c>
      <c r="H69">
        <f>'Raw Data'!H69</f>
        <v/>
      </c>
      <c r="I69">
        <f>'Raw Data'!I69</f>
        <v/>
      </c>
      <c r="J69" s="4">
        <f>IFERROR(E69/D69,0)</f>
        <v/>
      </c>
      <c r="K69">
        <f>F69-H69</f>
        <v/>
      </c>
      <c r="L69" s="4">
        <f>IFERROR(K69/F69,0)</f>
        <v/>
      </c>
      <c r="M69">
        <f>IF(J69&gt;=1,"Achieved","Below Target")</f>
        <v/>
      </c>
    </row>
    <row r="70">
      <c r="A70" s="3">
        <f>'Raw Data'!A70</f>
        <v/>
      </c>
      <c r="B70">
        <f>'Raw Data'!B70</f>
        <v/>
      </c>
      <c r="C70">
        <f>'Raw Data'!C70</f>
        <v/>
      </c>
      <c r="D70">
        <f>'Raw Data'!D70</f>
        <v/>
      </c>
      <c r="E70">
        <f>'Raw Data'!E70</f>
        <v/>
      </c>
      <c r="F70">
        <f>'Raw Data'!F70</f>
        <v/>
      </c>
      <c r="G70">
        <f>'Raw Data'!G70</f>
        <v/>
      </c>
      <c r="H70">
        <f>'Raw Data'!H70</f>
        <v/>
      </c>
      <c r="I70">
        <f>'Raw Data'!I70</f>
        <v/>
      </c>
      <c r="J70" s="4">
        <f>IFERROR(E70/D70,0)</f>
        <v/>
      </c>
      <c r="K70">
        <f>F70-H70</f>
        <v/>
      </c>
      <c r="L70" s="4">
        <f>IFERROR(K70/F70,0)</f>
        <v/>
      </c>
      <c r="M70">
        <f>IF(J70&gt;=1,"Achieved","Below Target")</f>
        <v/>
      </c>
    </row>
    <row r="71">
      <c r="A71" s="3">
        <f>'Raw Data'!A71</f>
        <v/>
      </c>
      <c r="B71">
        <f>'Raw Data'!B71</f>
        <v/>
      </c>
      <c r="C71">
        <f>'Raw Data'!C71</f>
        <v/>
      </c>
      <c r="D71">
        <f>'Raw Data'!D71</f>
        <v/>
      </c>
      <c r="E71">
        <f>'Raw Data'!E71</f>
        <v/>
      </c>
      <c r="F71">
        <f>'Raw Data'!F71</f>
        <v/>
      </c>
      <c r="G71">
        <f>'Raw Data'!G71</f>
        <v/>
      </c>
      <c r="H71">
        <f>'Raw Data'!H71</f>
        <v/>
      </c>
      <c r="I71">
        <f>'Raw Data'!I71</f>
        <v/>
      </c>
      <c r="J71" s="4">
        <f>IFERROR(E71/D71,0)</f>
        <v/>
      </c>
      <c r="K71">
        <f>F71-H71</f>
        <v/>
      </c>
      <c r="L71" s="4">
        <f>IFERROR(K71/F71,0)</f>
        <v/>
      </c>
      <c r="M71">
        <f>IF(J71&gt;=1,"Achieved","Below Target")</f>
        <v/>
      </c>
    </row>
    <row r="72">
      <c r="A72" s="3">
        <f>'Raw Data'!A72</f>
        <v/>
      </c>
      <c r="B72">
        <f>'Raw Data'!B72</f>
        <v/>
      </c>
      <c r="C72">
        <f>'Raw Data'!C72</f>
        <v/>
      </c>
      <c r="D72">
        <f>'Raw Data'!D72</f>
        <v/>
      </c>
      <c r="E72">
        <f>'Raw Data'!E72</f>
        <v/>
      </c>
      <c r="F72">
        <f>'Raw Data'!F72</f>
        <v/>
      </c>
      <c r="G72">
        <f>'Raw Data'!G72</f>
        <v/>
      </c>
      <c r="H72">
        <f>'Raw Data'!H72</f>
        <v/>
      </c>
      <c r="I72">
        <f>'Raw Data'!I72</f>
        <v/>
      </c>
      <c r="J72" s="4">
        <f>IFERROR(E72/D72,0)</f>
        <v/>
      </c>
      <c r="K72">
        <f>F72-H72</f>
        <v/>
      </c>
      <c r="L72" s="4">
        <f>IFERROR(K72/F72,0)</f>
        <v/>
      </c>
      <c r="M72">
        <f>IF(J72&gt;=1,"Achieved","Below Target")</f>
        <v/>
      </c>
    </row>
    <row r="73">
      <c r="A73" s="3">
        <f>'Raw Data'!A73</f>
        <v/>
      </c>
      <c r="B73">
        <f>'Raw Data'!B73</f>
        <v/>
      </c>
      <c r="C73">
        <f>'Raw Data'!C73</f>
        <v/>
      </c>
      <c r="D73">
        <f>'Raw Data'!D73</f>
        <v/>
      </c>
      <c r="E73">
        <f>'Raw Data'!E73</f>
        <v/>
      </c>
      <c r="F73">
        <f>'Raw Data'!F73</f>
        <v/>
      </c>
      <c r="G73">
        <f>'Raw Data'!G73</f>
        <v/>
      </c>
      <c r="H73">
        <f>'Raw Data'!H73</f>
        <v/>
      </c>
      <c r="I73">
        <f>'Raw Data'!I73</f>
        <v/>
      </c>
      <c r="J73" s="4">
        <f>IFERROR(E73/D73,0)</f>
        <v/>
      </c>
      <c r="K73">
        <f>F73-H73</f>
        <v/>
      </c>
      <c r="L73" s="4">
        <f>IFERROR(K73/F73,0)</f>
        <v/>
      </c>
      <c r="M73">
        <f>IF(J73&gt;=1,"Achieved","Below Target")</f>
        <v/>
      </c>
    </row>
    <row r="74">
      <c r="A74" s="3">
        <f>'Raw Data'!A74</f>
        <v/>
      </c>
      <c r="B74">
        <f>'Raw Data'!B74</f>
        <v/>
      </c>
      <c r="C74">
        <f>'Raw Data'!C74</f>
        <v/>
      </c>
      <c r="D74">
        <f>'Raw Data'!D74</f>
        <v/>
      </c>
      <c r="E74">
        <f>'Raw Data'!E74</f>
        <v/>
      </c>
      <c r="F74">
        <f>'Raw Data'!F74</f>
        <v/>
      </c>
      <c r="G74">
        <f>'Raw Data'!G74</f>
        <v/>
      </c>
      <c r="H74">
        <f>'Raw Data'!H74</f>
        <v/>
      </c>
      <c r="I74">
        <f>'Raw Data'!I74</f>
        <v/>
      </c>
      <c r="J74" s="4">
        <f>IFERROR(E74/D74,0)</f>
        <v/>
      </c>
      <c r="K74">
        <f>F74-H74</f>
        <v/>
      </c>
      <c r="L74" s="4">
        <f>IFERROR(K74/F74,0)</f>
        <v/>
      </c>
      <c r="M74">
        <f>IF(J74&gt;=1,"Achieved","Below Target")</f>
        <v/>
      </c>
    </row>
    <row r="75">
      <c r="A75" s="3">
        <f>'Raw Data'!A75</f>
        <v/>
      </c>
      <c r="B75">
        <f>'Raw Data'!B75</f>
        <v/>
      </c>
      <c r="C75">
        <f>'Raw Data'!C75</f>
        <v/>
      </c>
      <c r="D75">
        <f>'Raw Data'!D75</f>
        <v/>
      </c>
      <c r="E75">
        <f>'Raw Data'!E75</f>
        <v/>
      </c>
      <c r="F75">
        <f>'Raw Data'!F75</f>
        <v/>
      </c>
      <c r="G75">
        <f>'Raw Data'!G75</f>
        <v/>
      </c>
      <c r="H75">
        <f>'Raw Data'!H75</f>
        <v/>
      </c>
      <c r="I75">
        <f>'Raw Data'!I75</f>
        <v/>
      </c>
      <c r="J75" s="4">
        <f>IFERROR(E75/D75,0)</f>
        <v/>
      </c>
      <c r="K75">
        <f>F75-H75</f>
        <v/>
      </c>
      <c r="L75" s="4">
        <f>IFERROR(K75/F75,0)</f>
        <v/>
      </c>
      <c r="M75">
        <f>IF(J75&gt;=1,"Achieved","Below Target")</f>
        <v/>
      </c>
    </row>
    <row r="76">
      <c r="A76" s="3">
        <f>'Raw Data'!A76</f>
        <v/>
      </c>
      <c r="B76">
        <f>'Raw Data'!B76</f>
        <v/>
      </c>
      <c r="C76">
        <f>'Raw Data'!C76</f>
        <v/>
      </c>
      <c r="D76">
        <f>'Raw Data'!D76</f>
        <v/>
      </c>
      <c r="E76">
        <f>'Raw Data'!E76</f>
        <v/>
      </c>
      <c r="F76">
        <f>'Raw Data'!F76</f>
        <v/>
      </c>
      <c r="G76">
        <f>'Raw Data'!G76</f>
        <v/>
      </c>
      <c r="H76">
        <f>'Raw Data'!H76</f>
        <v/>
      </c>
      <c r="I76">
        <f>'Raw Data'!I76</f>
        <v/>
      </c>
      <c r="J76" s="4">
        <f>IFERROR(E76/D76,0)</f>
        <v/>
      </c>
      <c r="K76">
        <f>F76-H76</f>
        <v/>
      </c>
      <c r="L76" s="4">
        <f>IFERROR(K76/F76,0)</f>
        <v/>
      </c>
      <c r="M76">
        <f>IF(J76&gt;=1,"Achieved","Below Target")</f>
        <v/>
      </c>
    </row>
    <row r="77">
      <c r="A77" s="3">
        <f>'Raw Data'!A77</f>
        <v/>
      </c>
      <c r="B77">
        <f>'Raw Data'!B77</f>
        <v/>
      </c>
      <c r="C77">
        <f>'Raw Data'!C77</f>
        <v/>
      </c>
      <c r="D77">
        <f>'Raw Data'!D77</f>
        <v/>
      </c>
      <c r="E77">
        <f>'Raw Data'!E77</f>
        <v/>
      </c>
      <c r="F77">
        <f>'Raw Data'!F77</f>
        <v/>
      </c>
      <c r="G77">
        <f>'Raw Data'!G77</f>
        <v/>
      </c>
      <c r="H77">
        <f>'Raw Data'!H77</f>
        <v/>
      </c>
      <c r="I77">
        <f>'Raw Data'!I77</f>
        <v/>
      </c>
      <c r="J77" s="4">
        <f>IFERROR(E77/D77,0)</f>
        <v/>
      </c>
      <c r="K77">
        <f>F77-H77</f>
        <v/>
      </c>
      <c r="L77" s="4">
        <f>IFERROR(K77/F77,0)</f>
        <v/>
      </c>
      <c r="M77">
        <f>IF(J77&gt;=1,"Achieved","Below Target")</f>
        <v/>
      </c>
    </row>
    <row r="78">
      <c r="A78" s="3">
        <f>'Raw Data'!A78</f>
        <v/>
      </c>
      <c r="B78">
        <f>'Raw Data'!B78</f>
        <v/>
      </c>
      <c r="C78">
        <f>'Raw Data'!C78</f>
        <v/>
      </c>
      <c r="D78">
        <f>'Raw Data'!D78</f>
        <v/>
      </c>
      <c r="E78">
        <f>'Raw Data'!E78</f>
        <v/>
      </c>
      <c r="F78">
        <f>'Raw Data'!F78</f>
        <v/>
      </c>
      <c r="G78">
        <f>'Raw Data'!G78</f>
        <v/>
      </c>
      <c r="H78">
        <f>'Raw Data'!H78</f>
        <v/>
      </c>
      <c r="I78">
        <f>'Raw Data'!I78</f>
        <v/>
      </c>
      <c r="J78" s="4">
        <f>IFERROR(E78/D78,0)</f>
        <v/>
      </c>
      <c r="K78">
        <f>F78-H78</f>
        <v/>
      </c>
      <c r="L78" s="4">
        <f>IFERROR(K78/F78,0)</f>
        <v/>
      </c>
      <c r="M78">
        <f>IF(J78&gt;=1,"Achieved","Below Target")</f>
        <v/>
      </c>
    </row>
    <row r="79">
      <c r="A79" s="3">
        <f>'Raw Data'!A79</f>
        <v/>
      </c>
      <c r="B79">
        <f>'Raw Data'!B79</f>
        <v/>
      </c>
      <c r="C79">
        <f>'Raw Data'!C79</f>
        <v/>
      </c>
      <c r="D79">
        <f>'Raw Data'!D79</f>
        <v/>
      </c>
      <c r="E79">
        <f>'Raw Data'!E79</f>
        <v/>
      </c>
      <c r="F79">
        <f>'Raw Data'!F79</f>
        <v/>
      </c>
      <c r="G79">
        <f>'Raw Data'!G79</f>
        <v/>
      </c>
      <c r="H79">
        <f>'Raw Data'!H79</f>
        <v/>
      </c>
      <c r="I79">
        <f>'Raw Data'!I79</f>
        <v/>
      </c>
      <c r="J79" s="4">
        <f>IFERROR(E79/D79,0)</f>
        <v/>
      </c>
      <c r="K79">
        <f>F79-H79</f>
        <v/>
      </c>
      <c r="L79" s="4">
        <f>IFERROR(K79/F79,0)</f>
        <v/>
      </c>
      <c r="M79">
        <f>IF(J79&gt;=1,"Achieved","Below Target")</f>
        <v/>
      </c>
    </row>
    <row r="80">
      <c r="A80" s="3">
        <f>'Raw Data'!A80</f>
        <v/>
      </c>
      <c r="B80">
        <f>'Raw Data'!B80</f>
        <v/>
      </c>
      <c r="C80">
        <f>'Raw Data'!C80</f>
        <v/>
      </c>
      <c r="D80">
        <f>'Raw Data'!D80</f>
        <v/>
      </c>
      <c r="E80">
        <f>'Raw Data'!E80</f>
        <v/>
      </c>
      <c r="F80">
        <f>'Raw Data'!F80</f>
        <v/>
      </c>
      <c r="G80">
        <f>'Raw Data'!G80</f>
        <v/>
      </c>
      <c r="H80">
        <f>'Raw Data'!H80</f>
        <v/>
      </c>
      <c r="I80">
        <f>'Raw Data'!I80</f>
        <v/>
      </c>
      <c r="J80" s="4">
        <f>IFERROR(E80/D80,0)</f>
        <v/>
      </c>
      <c r="K80">
        <f>F80-H80</f>
        <v/>
      </c>
      <c r="L80" s="4">
        <f>IFERROR(K80/F80,0)</f>
        <v/>
      </c>
      <c r="M80">
        <f>IF(J80&gt;=1,"Achieved","Below Target")</f>
        <v/>
      </c>
    </row>
    <row r="81">
      <c r="A81" s="3">
        <f>'Raw Data'!A81</f>
        <v/>
      </c>
      <c r="B81">
        <f>'Raw Data'!B81</f>
        <v/>
      </c>
      <c r="C81">
        <f>'Raw Data'!C81</f>
        <v/>
      </c>
      <c r="D81">
        <f>'Raw Data'!D81</f>
        <v/>
      </c>
      <c r="E81">
        <f>'Raw Data'!E81</f>
        <v/>
      </c>
      <c r="F81">
        <f>'Raw Data'!F81</f>
        <v/>
      </c>
      <c r="G81">
        <f>'Raw Data'!G81</f>
        <v/>
      </c>
      <c r="H81">
        <f>'Raw Data'!H81</f>
        <v/>
      </c>
      <c r="I81">
        <f>'Raw Data'!I81</f>
        <v/>
      </c>
      <c r="J81" s="4">
        <f>IFERROR(E81/D81,0)</f>
        <v/>
      </c>
      <c r="K81">
        <f>F81-H81</f>
        <v/>
      </c>
      <c r="L81" s="4">
        <f>IFERROR(K81/F81,0)</f>
        <v/>
      </c>
      <c r="M81">
        <f>IF(J81&gt;=1,"Achieved","Below Target")</f>
        <v/>
      </c>
    </row>
    <row r="82">
      <c r="A82" s="3">
        <f>'Raw Data'!A82</f>
        <v/>
      </c>
      <c r="B82">
        <f>'Raw Data'!B82</f>
        <v/>
      </c>
      <c r="C82">
        <f>'Raw Data'!C82</f>
        <v/>
      </c>
      <c r="D82">
        <f>'Raw Data'!D82</f>
        <v/>
      </c>
      <c r="E82">
        <f>'Raw Data'!E82</f>
        <v/>
      </c>
      <c r="F82">
        <f>'Raw Data'!F82</f>
        <v/>
      </c>
      <c r="G82">
        <f>'Raw Data'!G82</f>
        <v/>
      </c>
      <c r="H82">
        <f>'Raw Data'!H82</f>
        <v/>
      </c>
      <c r="I82">
        <f>'Raw Data'!I82</f>
        <v/>
      </c>
      <c r="J82" s="4">
        <f>IFERROR(E82/D82,0)</f>
        <v/>
      </c>
      <c r="K82">
        <f>F82-H82</f>
        <v/>
      </c>
      <c r="L82" s="4">
        <f>IFERROR(K82/F82,0)</f>
        <v/>
      </c>
      <c r="M82">
        <f>IF(J82&gt;=1,"Achieved","Below Target")</f>
        <v/>
      </c>
    </row>
    <row r="83">
      <c r="A83" s="3">
        <f>'Raw Data'!A83</f>
        <v/>
      </c>
      <c r="B83">
        <f>'Raw Data'!B83</f>
        <v/>
      </c>
      <c r="C83">
        <f>'Raw Data'!C83</f>
        <v/>
      </c>
      <c r="D83">
        <f>'Raw Data'!D83</f>
        <v/>
      </c>
      <c r="E83">
        <f>'Raw Data'!E83</f>
        <v/>
      </c>
      <c r="F83">
        <f>'Raw Data'!F83</f>
        <v/>
      </c>
      <c r="G83">
        <f>'Raw Data'!G83</f>
        <v/>
      </c>
      <c r="H83">
        <f>'Raw Data'!H83</f>
        <v/>
      </c>
      <c r="I83">
        <f>'Raw Data'!I83</f>
        <v/>
      </c>
      <c r="J83" s="4">
        <f>IFERROR(E83/D83,0)</f>
        <v/>
      </c>
      <c r="K83">
        <f>F83-H83</f>
        <v/>
      </c>
      <c r="L83" s="4">
        <f>IFERROR(K83/F83,0)</f>
        <v/>
      </c>
      <c r="M83">
        <f>IF(J83&gt;=1,"Achieved","Below Target")</f>
        <v/>
      </c>
    </row>
    <row r="84">
      <c r="A84" s="3">
        <f>'Raw Data'!A84</f>
        <v/>
      </c>
      <c r="B84">
        <f>'Raw Data'!B84</f>
        <v/>
      </c>
      <c r="C84">
        <f>'Raw Data'!C84</f>
        <v/>
      </c>
      <c r="D84">
        <f>'Raw Data'!D84</f>
        <v/>
      </c>
      <c r="E84">
        <f>'Raw Data'!E84</f>
        <v/>
      </c>
      <c r="F84">
        <f>'Raw Data'!F84</f>
        <v/>
      </c>
      <c r="G84">
        <f>'Raw Data'!G84</f>
        <v/>
      </c>
      <c r="H84">
        <f>'Raw Data'!H84</f>
        <v/>
      </c>
      <c r="I84">
        <f>'Raw Data'!I84</f>
        <v/>
      </c>
      <c r="J84" s="4">
        <f>IFERROR(E84/D84,0)</f>
        <v/>
      </c>
      <c r="K84">
        <f>F84-H84</f>
        <v/>
      </c>
      <c r="L84" s="4">
        <f>IFERROR(K84/F84,0)</f>
        <v/>
      </c>
      <c r="M84">
        <f>IF(J84&gt;=1,"Achieved","Below Target")</f>
        <v/>
      </c>
    </row>
    <row r="85">
      <c r="A85" s="3">
        <f>'Raw Data'!A85</f>
        <v/>
      </c>
      <c r="B85">
        <f>'Raw Data'!B85</f>
        <v/>
      </c>
      <c r="C85">
        <f>'Raw Data'!C85</f>
        <v/>
      </c>
      <c r="D85">
        <f>'Raw Data'!D85</f>
        <v/>
      </c>
      <c r="E85">
        <f>'Raw Data'!E85</f>
        <v/>
      </c>
      <c r="F85">
        <f>'Raw Data'!F85</f>
        <v/>
      </c>
      <c r="G85">
        <f>'Raw Data'!G85</f>
        <v/>
      </c>
      <c r="H85">
        <f>'Raw Data'!H85</f>
        <v/>
      </c>
      <c r="I85">
        <f>'Raw Data'!I85</f>
        <v/>
      </c>
      <c r="J85" s="4">
        <f>IFERROR(E85/D85,0)</f>
        <v/>
      </c>
      <c r="K85">
        <f>F85-H85</f>
        <v/>
      </c>
      <c r="L85" s="4">
        <f>IFERROR(K85/F85,0)</f>
        <v/>
      </c>
      <c r="M85">
        <f>IF(J85&gt;=1,"Achieved","Below Target")</f>
        <v/>
      </c>
    </row>
    <row r="86">
      <c r="A86" s="3">
        <f>'Raw Data'!A86</f>
        <v/>
      </c>
      <c r="B86">
        <f>'Raw Data'!B86</f>
        <v/>
      </c>
      <c r="C86">
        <f>'Raw Data'!C86</f>
        <v/>
      </c>
      <c r="D86">
        <f>'Raw Data'!D86</f>
        <v/>
      </c>
      <c r="E86">
        <f>'Raw Data'!E86</f>
        <v/>
      </c>
      <c r="F86">
        <f>'Raw Data'!F86</f>
        <v/>
      </c>
      <c r="G86">
        <f>'Raw Data'!G86</f>
        <v/>
      </c>
      <c r="H86">
        <f>'Raw Data'!H86</f>
        <v/>
      </c>
      <c r="I86">
        <f>'Raw Data'!I86</f>
        <v/>
      </c>
      <c r="J86" s="4">
        <f>IFERROR(E86/D86,0)</f>
        <v/>
      </c>
      <c r="K86">
        <f>F86-H86</f>
        <v/>
      </c>
      <c r="L86" s="4">
        <f>IFERROR(K86/F86,0)</f>
        <v/>
      </c>
      <c r="M86">
        <f>IF(J86&gt;=1,"Achieved","Below Target")</f>
        <v/>
      </c>
    </row>
    <row r="87">
      <c r="A87" s="3">
        <f>'Raw Data'!A87</f>
        <v/>
      </c>
      <c r="B87">
        <f>'Raw Data'!B87</f>
        <v/>
      </c>
      <c r="C87">
        <f>'Raw Data'!C87</f>
        <v/>
      </c>
      <c r="D87">
        <f>'Raw Data'!D87</f>
        <v/>
      </c>
      <c r="E87">
        <f>'Raw Data'!E87</f>
        <v/>
      </c>
      <c r="F87">
        <f>'Raw Data'!F87</f>
        <v/>
      </c>
      <c r="G87">
        <f>'Raw Data'!G87</f>
        <v/>
      </c>
      <c r="H87">
        <f>'Raw Data'!H87</f>
        <v/>
      </c>
      <c r="I87">
        <f>'Raw Data'!I87</f>
        <v/>
      </c>
      <c r="J87" s="4">
        <f>IFERROR(E87/D87,0)</f>
        <v/>
      </c>
      <c r="K87">
        <f>F87-H87</f>
        <v/>
      </c>
      <c r="L87" s="4">
        <f>IFERROR(K87/F87,0)</f>
        <v/>
      </c>
      <c r="M87">
        <f>IF(J87&gt;=1,"Achieved","Below Target")</f>
        <v/>
      </c>
    </row>
    <row r="88">
      <c r="A88" s="3">
        <f>'Raw Data'!A88</f>
        <v/>
      </c>
      <c r="B88">
        <f>'Raw Data'!B88</f>
        <v/>
      </c>
      <c r="C88">
        <f>'Raw Data'!C88</f>
        <v/>
      </c>
      <c r="D88">
        <f>'Raw Data'!D88</f>
        <v/>
      </c>
      <c r="E88">
        <f>'Raw Data'!E88</f>
        <v/>
      </c>
      <c r="F88">
        <f>'Raw Data'!F88</f>
        <v/>
      </c>
      <c r="G88">
        <f>'Raw Data'!G88</f>
        <v/>
      </c>
      <c r="H88">
        <f>'Raw Data'!H88</f>
        <v/>
      </c>
      <c r="I88">
        <f>'Raw Data'!I88</f>
        <v/>
      </c>
      <c r="J88" s="4">
        <f>IFERROR(E88/D88,0)</f>
        <v/>
      </c>
      <c r="K88">
        <f>F88-H88</f>
        <v/>
      </c>
      <c r="L88" s="4">
        <f>IFERROR(K88/F88,0)</f>
        <v/>
      </c>
      <c r="M88">
        <f>IF(J88&gt;=1,"Achieved","Below Target")</f>
        <v/>
      </c>
    </row>
    <row r="89">
      <c r="A89" s="3">
        <f>'Raw Data'!A89</f>
        <v/>
      </c>
      <c r="B89">
        <f>'Raw Data'!B89</f>
        <v/>
      </c>
      <c r="C89">
        <f>'Raw Data'!C89</f>
        <v/>
      </c>
      <c r="D89">
        <f>'Raw Data'!D89</f>
        <v/>
      </c>
      <c r="E89">
        <f>'Raw Data'!E89</f>
        <v/>
      </c>
      <c r="F89">
        <f>'Raw Data'!F89</f>
        <v/>
      </c>
      <c r="G89">
        <f>'Raw Data'!G89</f>
        <v/>
      </c>
      <c r="H89">
        <f>'Raw Data'!H89</f>
        <v/>
      </c>
      <c r="I89">
        <f>'Raw Data'!I89</f>
        <v/>
      </c>
      <c r="J89" s="4">
        <f>IFERROR(E89/D89,0)</f>
        <v/>
      </c>
      <c r="K89">
        <f>F89-H89</f>
        <v/>
      </c>
      <c r="L89" s="4">
        <f>IFERROR(K89/F89,0)</f>
        <v/>
      </c>
      <c r="M89">
        <f>IF(J89&gt;=1,"Achieved","Below Target")</f>
        <v/>
      </c>
    </row>
    <row r="90">
      <c r="A90" s="3">
        <f>'Raw Data'!A90</f>
        <v/>
      </c>
      <c r="B90">
        <f>'Raw Data'!B90</f>
        <v/>
      </c>
      <c r="C90">
        <f>'Raw Data'!C90</f>
        <v/>
      </c>
      <c r="D90">
        <f>'Raw Data'!D90</f>
        <v/>
      </c>
      <c r="E90">
        <f>'Raw Data'!E90</f>
        <v/>
      </c>
      <c r="F90">
        <f>'Raw Data'!F90</f>
        <v/>
      </c>
      <c r="G90">
        <f>'Raw Data'!G90</f>
        <v/>
      </c>
      <c r="H90">
        <f>'Raw Data'!H90</f>
        <v/>
      </c>
      <c r="I90">
        <f>'Raw Data'!I90</f>
        <v/>
      </c>
      <c r="J90" s="4">
        <f>IFERROR(E90/D90,0)</f>
        <v/>
      </c>
      <c r="K90">
        <f>F90-H90</f>
        <v/>
      </c>
      <c r="L90" s="4">
        <f>IFERROR(K90/F90,0)</f>
        <v/>
      </c>
      <c r="M90">
        <f>IF(J90&gt;=1,"Achieved","Below Target")</f>
        <v/>
      </c>
    </row>
    <row r="91">
      <c r="A91" s="3">
        <f>'Raw Data'!A91</f>
        <v/>
      </c>
      <c r="B91">
        <f>'Raw Data'!B91</f>
        <v/>
      </c>
      <c r="C91">
        <f>'Raw Data'!C91</f>
        <v/>
      </c>
      <c r="D91">
        <f>'Raw Data'!D91</f>
        <v/>
      </c>
      <c r="E91">
        <f>'Raw Data'!E91</f>
        <v/>
      </c>
      <c r="F91">
        <f>'Raw Data'!F91</f>
        <v/>
      </c>
      <c r="G91">
        <f>'Raw Data'!G91</f>
        <v/>
      </c>
      <c r="H91">
        <f>'Raw Data'!H91</f>
        <v/>
      </c>
      <c r="I91">
        <f>'Raw Data'!I91</f>
        <v/>
      </c>
      <c r="J91" s="4">
        <f>IFERROR(E91/D91,0)</f>
        <v/>
      </c>
      <c r="K91">
        <f>F91-H91</f>
        <v/>
      </c>
      <c r="L91" s="4">
        <f>IFERROR(K91/F91,0)</f>
        <v/>
      </c>
      <c r="M91">
        <f>IF(J91&gt;=1,"Achieved","Below Target")</f>
        <v/>
      </c>
    </row>
    <row r="92">
      <c r="A92" s="3">
        <f>'Raw Data'!A92</f>
        <v/>
      </c>
      <c r="B92">
        <f>'Raw Data'!B92</f>
        <v/>
      </c>
      <c r="C92">
        <f>'Raw Data'!C92</f>
        <v/>
      </c>
      <c r="D92">
        <f>'Raw Data'!D92</f>
        <v/>
      </c>
      <c r="E92">
        <f>'Raw Data'!E92</f>
        <v/>
      </c>
      <c r="F92">
        <f>'Raw Data'!F92</f>
        <v/>
      </c>
      <c r="G92">
        <f>'Raw Data'!G92</f>
        <v/>
      </c>
      <c r="H92">
        <f>'Raw Data'!H92</f>
        <v/>
      </c>
      <c r="I92">
        <f>'Raw Data'!I92</f>
        <v/>
      </c>
      <c r="J92" s="4">
        <f>IFERROR(E92/D92,0)</f>
        <v/>
      </c>
      <c r="K92">
        <f>F92-H92</f>
        <v/>
      </c>
      <c r="L92" s="4">
        <f>IFERROR(K92/F92,0)</f>
        <v/>
      </c>
      <c r="M92">
        <f>IF(J92&gt;=1,"Achieved","Below Target")</f>
        <v/>
      </c>
    </row>
    <row r="93">
      <c r="A93" s="3">
        <f>'Raw Data'!A93</f>
        <v/>
      </c>
      <c r="B93">
        <f>'Raw Data'!B93</f>
        <v/>
      </c>
      <c r="C93">
        <f>'Raw Data'!C93</f>
        <v/>
      </c>
      <c r="D93">
        <f>'Raw Data'!D93</f>
        <v/>
      </c>
      <c r="E93">
        <f>'Raw Data'!E93</f>
        <v/>
      </c>
      <c r="F93">
        <f>'Raw Data'!F93</f>
        <v/>
      </c>
      <c r="G93">
        <f>'Raw Data'!G93</f>
        <v/>
      </c>
      <c r="H93">
        <f>'Raw Data'!H93</f>
        <v/>
      </c>
      <c r="I93">
        <f>'Raw Data'!I93</f>
        <v/>
      </c>
      <c r="J93" s="4">
        <f>IFERROR(E93/D93,0)</f>
        <v/>
      </c>
      <c r="K93">
        <f>F93-H93</f>
        <v/>
      </c>
      <c r="L93" s="4">
        <f>IFERROR(K93/F93,0)</f>
        <v/>
      </c>
      <c r="M93">
        <f>IF(J93&gt;=1,"Achieved","Below Target")</f>
        <v/>
      </c>
    </row>
    <row r="94">
      <c r="A94" s="3">
        <f>'Raw Data'!A94</f>
        <v/>
      </c>
      <c r="B94">
        <f>'Raw Data'!B94</f>
        <v/>
      </c>
      <c r="C94">
        <f>'Raw Data'!C94</f>
        <v/>
      </c>
      <c r="D94">
        <f>'Raw Data'!D94</f>
        <v/>
      </c>
      <c r="E94">
        <f>'Raw Data'!E94</f>
        <v/>
      </c>
      <c r="F94">
        <f>'Raw Data'!F94</f>
        <v/>
      </c>
      <c r="G94">
        <f>'Raw Data'!G94</f>
        <v/>
      </c>
      <c r="H94">
        <f>'Raw Data'!H94</f>
        <v/>
      </c>
      <c r="I94">
        <f>'Raw Data'!I94</f>
        <v/>
      </c>
      <c r="J94" s="4">
        <f>IFERROR(E94/D94,0)</f>
        <v/>
      </c>
      <c r="K94">
        <f>F94-H94</f>
        <v/>
      </c>
      <c r="L94" s="4">
        <f>IFERROR(K94/F94,0)</f>
        <v/>
      </c>
      <c r="M94">
        <f>IF(J94&gt;=1,"Achieved","Below Target")</f>
        <v/>
      </c>
    </row>
    <row r="95">
      <c r="A95" s="3">
        <f>'Raw Data'!A95</f>
        <v/>
      </c>
      <c r="B95">
        <f>'Raw Data'!B95</f>
        <v/>
      </c>
      <c r="C95">
        <f>'Raw Data'!C95</f>
        <v/>
      </c>
      <c r="D95">
        <f>'Raw Data'!D95</f>
        <v/>
      </c>
      <c r="E95">
        <f>'Raw Data'!E95</f>
        <v/>
      </c>
      <c r="F95">
        <f>'Raw Data'!F95</f>
        <v/>
      </c>
      <c r="G95">
        <f>'Raw Data'!G95</f>
        <v/>
      </c>
      <c r="H95">
        <f>'Raw Data'!H95</f>
        <v/>
      </c>
      <c r="I95">
        <f>'Raw Data'!I95</f>
        <v/>
      </c>
      <c r="J95" s="4">
        <f>IFERROR(E95/D95,0)</f>
        <v/>
      </c>
      <c r="K95">
        <f>F95-H95</f>
        <v/>
      </c>
      <c r="L95" s="4">
        <f>IFERROR(K95/F95,0)</f>
        <v/>
      </c>
      <c r="M95">
        <f>IF(J95&gt;=1,"Achieved","Below Target")</f>
        <v/>
      </c>
    </row>
    <row r="96">
      <c r="A96" s="3">
        <f>'Raw Data'!A96</f>
        <v/>
      </c>
      <c r="B96">
        <f>'Raw Data'!B96</f>
        <v/>
      </c>
      <c r="C96">
        <f>'Raw Data'!C96</f>
        <v/>
      </c>
      <c r="D96">
        <f>'Raw Data'!D96</f>
        <v/>
      </c>
      <c r="E96">
        <f>'Raw Data'!E96</f>
        <v/>
      </c>
      <c r="F96">
        <f>'Raw Data'!F96</f>
        <v/>
      </c>
      <c r="G96">
        <f>'Raw Data'!G96</f>
        <v/>
      </c>
      <c r="H96">
        <f>'Raw Data'!H96</f>
        <v/>
      </c>
      <c r="I96">
        <f>'Raw Data'!I96</f>
        <v/>
      </c>
      <c r="J96" s="4">
        <f>IFERROR(E96/D96,0)</f>
        <v/>
      </c>
      <c r="K96">
        <f>F96-H96</f>
        <v/>
      </c>
      <c r="L96" s="4">
        <f>IFERROR(K96/F96,0)</f>
        <v/>
      </c>
      <c r="M96">
        <f>IF(J96&gt;=1,"Achieved","Below Target")</f>
        <v/>
      </c>
    </row>
    <row r="97">
      <c r="A97" s="3">
        <f>'Raw Data'!A97</f>
        <v/>
      </c>
      <c r="B97">
        <f>'Raw Data'!B97</f>
        <v/>
      </c>
      <c r="C97">
        <f>'Raw Data'!C97</f>
        <v/>
      </c>
      <c r="D97">
        <f>'Raw Data'!D97</f>
        <v/>
      </c>
      <c r="E97">
        <f>'Raw Data'!E97</f>
        <v/>
      </c>
      <c r="F97">
        <f>'Raw Data'!F97</f>
        <v/>
      </c>
      <c r="G97">
        <f>'Raw Data'!G97</f>
        <v/>
      </c>
      <c r="H97">
        <f>'Raw Data'!H97</f>
        <v/>
      </c>
      <c r="I97">
        <f>'Raw Data'!I97</f>
        <v/>
      </c>
      <c r="J97" s="4">
        <f>IFERROR(E97/D97,0)</f>
        <v/>
      </c>
      <c r="K97">
        <f>F97-H97</f>
        <v/>
      </c>
      <c r="L97" s="4">
        <f>IFERROR(K97/F97,0)</f>
        <v/>
      </c>
      <c r="M97">
        <f>IF(J97&gt;=1,"Achieved","Below Target")</f>
        <v/>
      </c>
    </row>
    <row r="98">
      <c r="A98" s="3">
        <f>'Raw Data'!A98</f>
        <v/>
      </c>
      <c r="B98">
        <f>'Raw Data'!B98</f>
        <v/>
      </c>
      <c r="C98">
        <f>'Raw Data'!C98</f>
        <v/>
      </c>
      <c r="D98">
        <f>'Raw Data'!D98</f>
        <v/>
      </c>
      <c r="E98">
        <f>'Raw Data'!E98</f>
        <v/>
      </c>
      <c r="F98">
        <f>'Raw Data'!F98</f>
        <v/>
      </c>
      <c r="G98">
        <f>'Raw Data'!G98</f>
        <v/>
      </c>
      <c r="H98">
        <f>'Raw Data'!H98</f>
        <v/>
      </c>
      <c r="I98">
        <f>'Raw Data'!I98</f>
        <v/>
      </c>
      <c r="J98" s="4">
        <f>IFERROR(E98/D98,0)</f>
        <v/>
      </c>
      <c r="K98">
        <f>F98-H98</f>
        <v/>
      </c>
      <c r="L98" s="4">
        <f>IFERROR(K98/F98,0)</f>
        <v/>
      </c>
      <c r="M98">
        <f>IF(J98&gt;=1,"Achieved","Below Target")</f>
        <v/>
      </c>
    </row>
    <row r="99">
      <c r="A99" s="3">
        <f>'Raw Data'!A99</f>
        <v/>
      </c>
      <c r="B99">
        <f>'Raw Data'!B99</f>
        <v/>
      </c>
      <c r="C99">
        <f>'Raw Data'!C99</f>
        <v/>
      </c>
      <c r="D99">
        <f>'Raw Data'!D99</f>
        <v/>
      </c>
      <c r="E99">
        <f>'Raw Data'!E99</f>
        <v/>
      </c>
      <c r="F99">
        <f>'Raw Data'!F99</f>
        <v/>
      </c>
      <c r="G99">
        <f>'Raw Data'!G99</f>
        <v/>
      </c>
      <c r="H99">
        <f>'Raw Data'!H99</f>
        <v/>
      </c>
      <c r="I99">
        <f>'Raw Data'!I99</f>
        <v/>
      </c>
      <c r="J99" s="4">
        <f>IFERROR(E99/D99,0)</f>
        <v/>
      </c>
      <c r="K99">
        <f>F99-H99</f>
        <v/>
      </c>
      <c r="L99" s="4">
        <f>IFERROR(K99/F99,0)</f>
        <v/>
      </c>
      <c r="M99">
        <f>IF(J99&gt;=1,"Achieved","Below Target")</f>
        <v/>
      </c>
    </row>
    <row r="100">
      <c r="A100" s="3">
        <f>'Raw Data'!A100</f>
        <v/>
      </c>
      <c r="B100">
        <f>'Raw Data'!B100</f>
        <v/>
      </c>
      <c r="C100">
        <f>'Raw Data'!C100</f>
        <v/>
      </c>
      <c r="D100">
        <f>'Raw Data'!D100</f>
        <v/>
      </c>
      <c r="E100">
        <f>'Raw Data'!E100</f>
        <v/>
      </c>
      <c r="F100">
        <f>'Raw Data'!F100</f>
        <v/>
      </c>
      <c r="G100">
        <f>'Raw Data'!G100</f>
        <v/>
      </c>
      <c r="H100">
        <f>'Raw Data'!H100</f>
        <v/>
      </c>
      <c r="I100">
        <f>'Raw Data'!I100</f>
        <v/>
      </c>
      <c r="J100" s="4">
        <f>IFERROR(E100/D100,0)</f>
        <v/>
      </c>
      <c r="K100">
        <f>F100-H100</f>
        <v/>
      </c>
      <c r="L100" s="4">
        <f>IFERROR(K100/F100,0)</f>
        <v/>
      </c>
      <c r="M100">
        <f>IF(J100&gt;=1,"Achieved","Below Target")</f>
        <v/>
      </c>
    </row>
    <row r="101">
      <c r="A101" s="3">
        <f>'Raw Data'!A101</f>
        <v/>
      </c>
      <c r="B101">
        <f>'Raw Data'!B101</f>
        <v/>
      </c>
      <c r="C101">
        <f>'Raw Data'!C101</f>
        <v/>
      </c>
      <c r="D101">
        <f>'Raw Data'!D101</f>
        <v/>
      </c>
      <c r="E101">
        <f>'Raw Data'!E101</f>
        <v/>
      </c>
      <c r="F101">
        <f>'Raw Data'!F101</f>
        <v/>
      </c>
      <c r="G101">
        <f>'Raw Data'!G101</f>
        <v/>
      </c>
      <c r="H101">
        <f>'Raw Data'!H101</f>
        <v/>
      </c>
      <c r="I101">
        <f>'Raw Data'!I101</f>
        <v/>
      </c>
      <c r="J101" s="4">
        <f>IFERROR(E101/D101,0)</f>
        <v/>
      </c>
      <c r="K101">
        <f>F101-H101</f>
        <v/>
      </c>
      <c r="L101" s="4">
        <f>IFERROR(K101/F101,0)</f>
        <v/>
      </c>
      <c r="M101">
        <f>IF(J101&gt;=1,"Achieved","Below Target")</f>
        <v/>
      </c>
    </row>
    <row r="102">
      <c r="A102" s="3">
        <f>'Raw Data'!A102</f>
        <v/>
      </c>
      <c r="B102">
        <f>'Raw Data'!B102</f>
        <v/>
      </c>
      <c r="C102">
        <f>'Raw Data'!C102</f>
        <v/>
      </c>
      <c r="D102">
        <f>'Raw Data'!D102</f>
        <v/>
      </c>
      <c r="E102">
        <f>'Raw Data'!E102</f>
        <v/>
      </c>
      <c r="F102">
        <f>'Raw Data'!F102</f>
        <v/>
      </c>
      <c r="G102">
        <f>'Raw Data'!G102</f>
        <v/>
      </c>
      <c r="H102">
        <f>'Raw Data'!H102</f>
        <v/>
      </c>
      <c r="I102">
        <f>'Raw Data'!I102</f>
        <v/>
      </c>
      <c r="J102" s="4">
        <f>IFERROR(E102/D102,0)</f>
        <v/>
      </c>
      <c r="K102">
        <f>F102-H102</f>
        <v/>
      </c>
      <c r="L102" s="4">
        <f>IFERROR(K102/F102,0)</f>
        <v/>
      </c>
      <c r="M102">
        <f>IF(J102&gt;=1,"Achieved","Below Target")</f>
        <v/>
      </c>
    </row>
    <row r="103">
      <c r="A103" s="3">
        <f>'Raw Data'!A103</f>
        <v/>
      </c>
      <c r="B103">
        <f>'Raw Data'!B103</f>
        <v/>
      </c>
      <c r="C103">
        <f>'Raw Data'!C103</f>
        <v/>
      </c>
      <c r="D103">
        <f>'Raw Data'!D103</f>
        <v/>
      </c>
      <c r="E103">
        <f>'Raw Data'!E103</f>
        <v/>
      </c>
      <c r="F103">
        <f>'Raw Data'!F103</f>
        <v/>
      </c>
      <c r="G103">
        <f>'Raw Data'!G103</f>
        <v/>
      </c>
      <c r="H103">
        <f>'Raw Data'!H103</f>
        <v/>
      </c>
      <c r="I103">
        <f>'Raw Data'!I103</f>
        <v/>
      </c>
      <c r="J103" s="4">
        <f>IFERROR(E103/D103,0)</f>
        <v/>
      </c>
      <c r="K103">
        <f>F103-H103</f>
        <v/>
      </c>
      <c r="L103" s="4">
        <f>IFERROR(K103/F103,0)</f>
        <v/>
      </c>
      <c r="M103">
        <f>IF(J103&gt;=1,"Achieved","Below Target")</f>
        <v/>
      </c>
    </row>
    <row r="104">
      <c r="A104" s="3">
        <f>'Raw Data'!A104</f>
        <v/>
      </c>
      <c r="B104">
        <f>'Raw Data'!B104</f>
        <v/>
      </c>
      <c r="C104">
        <f>'Raw Data'!C104</f>
        <v/>
      </c>
      <c r="D104">
        <f>'Raw Data'!D104</f>
        <v/>
      </c>
      <c r="E104">
        <f>'Raw Data'!E104</f>
        <v/>
      </c>
      <c r="F104">
        <f>'Raw Data'!F104</f>
        <v/>
      </c>
      <c r="G104">
        <f>'Raw Data'!G104</f>
        <v/>
      </c>
      <c r="H104">
        <f>'Raw Data'!H104</f>
        <v/>
      </c>
      <c r="I104">
        <f>'Raw Data'!I104</f>
        <v/>
      </c>
      <c r="J104" s="4">
        <f>IFERROR(E104/D104,0)</f>
        <v/>
      </c>
      <c r="K104">
        <f>F104-H104</f>
        <v/>
      </c>
      <c r="L104" s="4">
        <f>IFERROR(K104/F104,0)</f>
        <v/>
      </c>
      <c r="M104">
        <f>IF(J104&gt;=1,"Achieved","Below Target")</f>
        <v/>
      </c>
    </row>
    <row r="105">
      <c r="A105" s="3">
        <f>'Raw Data'!A105</f>
        <v/>
      </c>
      <c r="B105">
        <f>'Raw Data'!B105</f>
        <v/>
      </c>
      <c r="C105">
        <f>'Raw Data'!C105</f>
        <v/>
      </c>
      <c r="D105">
        <f>'Raw Data'!D105</f>
        <v/>
      </c>
      <c r="E105">
        <f>'Raw Data'!E105</f>
        <v/>
      </c>
      <c r="F105">
        <f>'Raw Data'!F105</f>
        <v/>
      </c>
      <c r="G105">
        <f>'Raw Data'!G105</f>
        <v/>
      </c>
      <c r="H105">
        <f>'Raw Data'!H105</f>
        <v/>
      </c>
      <c r="I105">
        <f>'Raw Data'!I105</f>
        <v/>
      </c>
      <c r="J105" s="4">
        <f>IFERROR(E105/D105,0)</f>
        <v/>
      </c>
      <c r="K105">
        <f>F105-H105</f>
        <v/>
      </c>
      <c r="L105" s="4">
        <f>IFERROR(K105/F105,0)</f>
        <v/>
      </c>
      <c r="M105">
        <f>IF(J105&gt;=1,"Achieved","Below Target")</f>
        <v/>
      </c>
    </row>
    <row r="106">
      <c r="A106" s="3">
        <f>'Raw Data'!A106</f>
        <v/>
      </c>
      <c r="B106">
        <f>'Raw Data'!B106</f>
        <v/>
      </c>
      <c r="C106">
        <f>'Raw Data'!C106</f>
        <v/>
      </c>
      <c r="D106">
        <f>'Raw Data'!D106</f>
        <v/>
      </c>
      <c r="E106">
        <f>'Raw Data'!E106</f>
        <v/>
      </c>
      <c r="F106">
        <f>'Raw Data'!F106</f>
        <v/>
      </c>
      <c r="G106">
        <f>'Raw Data'!G106</f>
        <v/>
      </c>
      <c r="H106">
        <f>'Raw Data'!H106</f>
        <v/>
      </c>
      <c r="I106">
        <f>'Raw Data'!I106</f>
        <v/>
      </c>
      <c r="J106" s="4">
        <f>IFERROR(E106/D106,0)</f>
        <v/>
      </c>
      <c r="K106">
        <f>F106-H106</f>
        <v/>
      </c>
      <c r="L106" s="4">
        <f>IFERROR(K106/F106,0)</f>
        <v/>
      </c>
      <c r="M106">
        <f>IF(J106&gt;=1,"Achieved","Below Target")</f>
        <v/>
      </c>
    </row>
    <row r="107">
      <c r="A107" s="3">
        <f>'Raw Data'!A107</f>
        <v/>
      </c>
      <c r="B107">
        <f>'Raw Data'!B107</f>
        <v/>
      </c>
      <c r="C107">
        <f>'Raw Data'!C107</f>
        <v/>
      </c>
      <c r="D107">
        <f>'Raw Data'!D107</f>
        <v/>
      </c>
      <c r="E107">
        <f>'Raw Data'!E107</f>
        <v/>
      </c>
      <c r="F107">
        <f>'Raw Data'!F107</f>
        <v/>
      </c>
      <c r="G107">
        <f>'Raw Data'!G107</f>
        <v/>
      </c>
      <c r="H107">
        <f>'Raw Data'!H107</f>
        <v/>
      </c>
      <c r="I107">
        <f>'Raw Data'!I107</f>
        <v/>
      </c>
      <c r="J107" s="4">
        <f>IFERROR(E107/D107,0)</f>
        <v/>
      </c>
      <c r="K107">
        <f>F107-H107</f>
        <v/>
      </c>
      <c r="L107" s="4">
        <f>IFERROR(K107/F107,0)</f>
        <v/>
      </c>
      <c r="M107">
        <f>IF(J107&gt;=1,"Achieved","Below Target")</f>
        <v/>
      </c>
    </row>
    <row r="108">
      <c r="A108" s="3">
        <f>'Raw Data'!A108</f>
        <v/>
      </c>
      <c r="B108">
        <f>'Raw Data'!B108</f>
        <v/>
      </c>
      <c r="C108">
        <f>'Raw Data'!C108</f>
        <v/>
      </c>
      <c r="D108">
        <f>'Raw Data'!D108</f>
        <v/>
      </c>
      <c r="E108">
        <f>'Raw Data'!E108</f>
        <v/>
      </c>
      <c r="F108">
        <f>'Raw Data'!F108</f>
        <v/>
      </c>
      <c r="G108">
        <f>'Raw Data'!G108</f>
        <v/>
      </c>
      <c r="H108">
        <f>'Raw Data'!H108</f>
        <v/>
      </c>
      <c r="I108">
        <f>'Raw Data'!I108</f>
        <v/>
      </c>
      <c r="J108" s="4">
        <f>IFERROR(E108/D108,0)</f>
        <v/>
      </c>
      <c r="K108">
        <f>F108-H108</f>
        <v/>
      </c>
      <c r="L108" s="4">
        <f>IFERROR(K108/F108,0)</f>
        <v/>
      </c>
      <c r="M108">
        <f>IF(J108&gt;=1,"Achieved","Below Target")</f>
        <v/>
      </c>
    </row>
    <row r="109">
      <c r="A109" s="3">
        <f>'Raw Data'!A109</f>
        <v/>
      </c>
      <c r="B109">
        <f>'Raw Data'!B109</f>
        <v/>
      </c>
      <c r="C109">
        <f>'Raw Data'!C109</f>
        <v/>
      </c>
      <c r="D109">
        <f>'Raw Data'!D109</f>
        <v/>
      </c>
      <c r="E109">
        <f>'Raw Data'!E109</f>
        <v/>
      </c>
      <c r="F109">
        <f>'Raw Data'!F109</f>
        <v/>
      </c>
      <c r="G109">
        <f>'Raw Data'!G109</f>
        <v/>
      </c>
      <c r="H109">
        <f>'Raw Data'!H109</f>
        <v/>
      </c>
      <c r="I109">
        <f>'Raw Data'!I109</f>
        <v/>
      </c>
      <c r="J109" s="4">
        <f>IFERROR(E109/D109,0)</f>
        <v/>
      </c>
      <c r="K109">
        <f>F109-H109</f>
        <v/>
      </c>
      <c r="L109" s="4">
        <f>IFERROR(K109/F109,0)</f>
        <v/>
      </c>
      <c r="M109">
        <f>IF(J109&gt;=1,"Achieved","Below Target")</f>
        <v/>
      </c>
    </row>
    <row r="110">
      <c r="A110" s="3">
        <f>'Raw Data'!A110</f>
        <v/>
      </c>
      <c r="B110">
        <f>'Raw Data'!B110</f>
        <v/>
      </c>
      <c r="C110">
        <f>'Raw Data'!C110</f>
        <v/>
      </c>
      <c r="D110">
        <f>'Raw Data'!D110</f>
        <v/>
      </c>
      <c r="E110">
        <f>'Raw Data'!E110</f>
        <v/>
      </c>
      <c r="F110">
        <f>'Raw Data'!F110</f>
        <v/>
      </c>
      <c r="G110">
        <f>'Raw Data'!G110</f>
        <v/>
      </c>
      <c r="H110">
        <f>'Raw Data'!H110</f>
        <v/>
      </c>
      <c r="I110">
        <f>'Raw Data'!I110</f>
        <v/>
      </c>
      <c r="J110" s="4">
        <f>IFERROR(E110/D110,0)</f>
        <v/>
      </c>
      <c r="K110">
        <f>F110-H110</f>
        <v/>
      </c>
      <c r="L110" s="4">
        <f>IFERROR(K110/F110,0)</f>
        <v/>
      </c>
      <c r="M110">
        <f>IF(J110&gt;=1,"Achieved","Below Target")</f>
        <v/>
      </c>
    </row>
    <row r="111">
      <c r="A111" s="3">
        <f>'Raw Data'!A111</f>
        <v/>
      </c>
      <c r="B111">
        <f>'Raw Data'!B111</f>
        <v/>
      </c>
      <c r="C111">
        <f>'Raw Data'!C111</f>
        <v/>
      </c>
      <c r="D111">
        <f>'Raw Data'!D111</f>
        <v/>
      </c>
      <c r="E111">
        <f>'Raw Data'!E111</f>
        <v/>
      </c>
      <c r="F111">
        <f>'Raw Data'!F111</f>
        <v/>
      </c>
      <c r="G111">
        <f>'Raw Data'!G111</f>
        <v/>
      </c>
      <c r="H111">
        <f>'Raw Data'!H111</f>
        <v/>
      </c>
      <c r="I111">
        <f>'Raw Data'!I111</f>
        <v/>
      </c>
      <c r="J111" s="4">
        <f>IFERROR(E111/D111,0)</f>
        <v/>
      </c>
      <c r="K111">
        <f>F111-H111</f>
        <v/>
      </c>
      <c r="L111" s="4">
        <f>IFERROR(K111/F111,0)</f>
        <v/>
      </c>
      <c r="M111">
        <f>IF(J111&gt;=1,"Achieved","Below Target")</f>
        <v/>
      </c>
    </row>
    <row r="112">
      <c r="A112" s="3">
        <f>'Raw Data'!A112</f>
        <v/>
      </c>
      <c r="B112">
        <f>'Raw Data'!B112</f>
        <v/>
      </c>
      <c r="C112">
        <f>'Raw Data'!C112</f>
        <v/>
      </c>
      <c r="D112">
        <f>'Raw Data'!D112</f>
        <v/>
      </c>
      <c r="E112">
        <f>'Raw Data'!E112</f>
        <v/>
      </c>
      <c r="F112">
        <f>'Raw Data'!F112</f>
        <v/>
      </c>
      <c r="G112">
        <f>'Raw Data'!G112</f>
        <v/>
      </c>
      <c r="H112">
        <f>'Raw Data'!H112</f>
        <v/>
      </c>
      <c r="I112">
        <f>'Raw Data'!I112</f>
        <v/>
      </c>
      <c r="J112" s="4">
        <f>IFERROR(E112/D112,0)</f>
        <v/>
      </c>
      <c r="K112">
        <f>F112-H112</f>
        <v/>
      </c>
      <c r="L112" s="4">
        <f>IFERROR(K112/F112,0)</f>
        <v/>
      </c>
      <c r="M112">
        <f>IF(J112&gt;=1,"Achieved","Below Target")</f>
        <v/>
      </c>
    </row>
    <row r="113">
      <c r="A113" s="3">
        <f>'Raw Data'!A113</f>
        <v/>
      </c>
      <c r="B113">
        <f>'Raw Data'!B113</f>
        <v/>
      </c>
      <c r="C113">
        <f>'Raw Data'!C113</f>
        <v/>
      </c>
      <c r="D113">
        <f>'Raw Data'!D113</f>
        <v/>
      </c>
      <c r="E113">
        <f>'Raw Data'!E113</f>
        <v/>
      </c>
      <c r="F113">
        <f>'Raw Data'!F113</f>
        <v/>
      </c>
      <c r="G113">
        <f>'Raw Data'!G113</f>
        <v/>
      </c>
      <c r="H113">
        <f>'Raw Data'!H113</f>
        <v/>
      </c>
      <c r="I113">
        <f>'Raw Data'!I113</f>
        <v/>
      </c>
      <c r="J113" s="4">
        <f>IFERROR(E113/D113,0)</f>
        <v/>
      </c>
      <c r="K113">
        <f>F113-H113</f>
        <v/>
      </c>
      <c r="L113" s="4">
        <f>IFERROR(K113/F113,0)</f>
        <v/>
      </c>
      <c r="M113">
        <f>IF(J113&gt;=1,"Achieved","Below Target")</f>
        <v/>
      </c>
    </row>
    <row r="114">
      <c r="A114" s="3">
        <f>'Raw Data'!A114</f>
        <v/>
      </c>
      <c r="B114">
        <f>'Raw Data'!B114</f>
        <v/>
      </c>
      <c r="C114">
        <f>'Raw Data'!C114</f>
        <v/>
      </c>
      <c r="D114">
        <f>'Raw Data'!D114</f>
        <v/>
      </c>
      <c r="E114">
        <f>'Raw Data'!E114</f>
        <v/>
      </c>
      <c r="F114">
        <f>'Raw Data'!F114</f>
        <v/>
      </c>
      <c r="G114">
        <f>'Raw Data'!G114</f>
        <v/>
      </c>
      <c r="H114">
        <f>'Raw Data'!H114</f>
        <v/>
      </c>
      <c r="I114">
        <f>'Raw Data'!I114</f>
        <v/>
      </c>
      <c r="J114" s="4">
        <f>IFERROR(E114/D114,0)</f>
        <v/>
      </c>
      <c r="K114">
        <f>F114-H114</f>
        <v/>
      </c>
      <c r="L114" s="4">
        <f>IFERROR(K114/F114,0)</f>
        <v/>
      </c>
      <c r="M114">
        <f>IF(J114&gt;=1,"Achieved","Below Target")</f>
        <v/>
      </c>
    </row>
    <row r="115">
      <c r="A115" s="3">
        <f>'Raw Data'!A115</f>
        <v/>
      </c>
      <c r="B115">
        <f>'Raw Data'!B115</f>
        <v/>
      </c>
      <c r="C115">
        <f>'Raw Data'!C115</f>
        <v/>
      </c>
      <c r="D115">
        <f>'Raw Data'!D115</f>
        <v/>
      </c>
      <c r="E115">
        <f>'Raw Data'!E115</f>
        <v/>
      </c>
      <c r="F115">
        <f>'Raw Data'!F115</f>
        <v/>
      </c>
      <c r="G115">
        <f>'Raw Data'!G115</f>
        <v/>
      </c>
      <c r="H115">
        <f>'Raw Data'!H115</f>
        <v/>
      </c>
      <c r="I115">
        <f>'Raw Data'!I115</f>
        <v/>
      </c>
      <c r="J115" s="4">
        <f>IFERROR(E115/D115,0)</f>
        <v/>
      </c>
      <c r="K115">
        <f>F115-H115</f>
        <v/>
      </c>
      <c r="L115" s="4">
        <f>IFERROR(K115/F115,0)</f>
        <v/>
      </c>
      <c r="M115">
        <f>IF(J115&gt;=1,"Achieved","Below Target")</f>
        <v/>
      </c>
    </row>
    <row r="116">
      <c r="A116" s="3">
        <f>'Raw Data'!A116</f>
        <v/>
      </c>
      <c r="B116">
        <f>'Raw Data'!B116</f>
        <v/>
      </c>
      <c r="C116">
        <f>'Raw Data'!C116</f>
        <v/>
      </c>
      <c r="D116">
        <f>'Raw Data'!D116</f>
        <v/>
      </c>
      <c r="E116">
        <f>'Raw Data'!E116</f>
        <v/>
      </c>
      <c r="F116">
        <f>'Raw Data'!F116</f>
        <v/>
      </c>
      <c r="G116">
        <f>'Raw Data'!G116</f>
        <v/>
      </c>
      <c r="H116">
        <f>'Raw Data'!H116</f>
        <v/>
      </c>
      <c r="I116">
        <f>'Raw Data'!I116</f>
        <v/>
      </c>
      <c r="J116" s="4">
        <f>IFERROR(E116/D116,0)</f>
        <v/>
      </c>
      <c r="K116">
        <f>F116-H116</f>
        <v/>
      </c>
      <c r="L116" s="4">
        <f>IFERROR(K116/F116,0)</f>
        <v/>
      </c>
      <c r="M116">
        <f>IF(J116&gt;=1,"Achieved","Below Target")</f>
        <v/>
      </c>
    </row>
    <row r="117">
      <c r="A117" s="3">
        <f>'Raw Data'!A117</f>
        <v/>
      </c>
      <c r="B117">
        <f>'Raw Data'!B117</f>
        <v/>
      </c>
      <c r="C117">
        <f>'Raw Data'!C117</f>
        <v/>
      </c>
      <c r="D117">
        <f>'Raw Data'!D117</f>
        <v/>
      </c>
      <c r="E117">
        <f>'Raw Data'!E117</f>
        <v/>
      </c>
      <c r="F117">
        <f>'Raw Data'!F117</f>
        <v/>
      </c>
      <c r="G117">
        <f>'Raw Data'!G117</f>
        <v/>
      </c>
      <c r="H117">
        <f>'Raw Data'!H117</f>
        <v/>
      </c>
      <c r="I117">
        <f>'Raw Data'!I117</f>
        <v/>
      </c>
      <c r="J117" s="4">
        <f>IFERROR(E117/D117,0)</f>
        <v/>
      </c>
      <c r="K117">
        <f>F117-H117</f>
        <v/>
      </c>
      <c r="L117" s="4">
        <f>IFERROR(K117/F117,0)</f>
        <v/>
      </c>
      <c r="M117">
        <f>IF(J117&gt;=1,"Achieved","Below Target")</f>
        <v/>
      </c>
    </row>
    <row r="118">
      <c r="A118" s="3">
        <f>'Raw Data'!A118</f>
        <v/>
      </c>
      <c r="B118">
        <f>'Raw Data'!B118</f>
        <v/>
      </c>
      <c r="C118">
        <f>'Raw Data'!C118</f>
        <v/>
      </c>
      <c r="D118">
        <f>'Raw Data'!D118</f>
        <v/>
      </c>
      <c r="E118">
        <f>'Raw Data'!E118</f>
        <v/>
      </c>
      <c r="F118">
        <f>'Raw Data'!F118</f>
        <v/>
      </c>
      <c r="G118">
        <f>'Raw Data'!G118</f>
        <v/>
      </c>
      <c r="H118">
        <f>'Raw Data'!H118</f>
        <v/>
      </c>
      <c r="I118">
        <f>'Raw Data'!I118</f>
        <v/>
      </c>
      <c r="J118" s="4">
        <f>IFERROR(E118/D118,0)</f>
        <v/>
      </c>
      <c r="K118">
        <f>F118-H118</f>
        <v/>
      </c>
      <c r="L118" s="4">
        <f>IFERROR(K118/F118,0)</f>
        <v/>
      </c>
      <c r="M118">
        <f>IF(J118&gt;=1,"Achieved","Below Target")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2">
      <c r="B2" s="5" t="inlineStr">
        <is>
          <t>MONTHLY MIS DASHBOARD</t>
        </is>
      </c>
    </row>
    <row r="4">
      <c r="B4" s="6" t="inlineStr">
        <is>
          <t>Total Revenue</t>
        </is>
      </c>
      <c r="D4" s="6" t="inlineStr">
        <is>
          <t>Total Orders</t>
        </is>
      </c>
      <c r="F4" s="6" t="inlineStr">
        <is>
          <t>Target Achievement</t>
        </is>
      </c>
    </row>
    <row r="5">
      <c r="B5" s="7">
        <f>SUM(Calculations!F:F)</f>
        <v/>
      </c>
      <c r="D5" s="8">
        <f>SUM(Calculations!G:G)</f>
        <v/>
      </c>
      <c r="F5" s="9">
        <f>IFERROR(SUM(Calculations!E:E)/SUM(Calculations!D:D),0)</f>
        <v/>
      </c>
    </row>
    <row r="7">
      <c r="B7" s="6" t="inlineStr">
        <is>
          <t>Total Expenses</t>
        </is>
      </c>
      <c r="D7" s="6" t="inlineStr">
        <is>
          <t>Total Profit</t>
        </is>
      </c>
      <c r="F7" s="6" t="inlineStr">
        <is>
          <t>Profit Margin</t>
        </is>
      </c>
    </row>
    <row r="8">
      <c r="B8" s="7">
        <f>SUM(Calculations!H:H)</f>
        <v/>
      </c>
      <c r="D8" s="7">
        <f>SUM(Calculations!K:K)</f>
        <v/>
      </c>
      <c r="F8" s="9">
        <f>IFERROR(SUM(Calculations!K:K)/SUM(Calculations!F:F),0)</f>
        <v/>
      </c>
    </row>
    <row r="11">
      <c r="B11" s="10" t="inlineStr">
        <is>
          <t>Month</t>
        </is>
      </c>
      <c r="C11" s="10" t="inlineStr">
        <is>
          <t>Revenue</t>
        </is>
      </c>
      <c r="D11" s="10" t="inlineStr">
        <is>
          <t>Expenses</t>
        </is>
      </c>
      <c r="E11" s="10" t="inlineStr">
        <is>
          <t>Profit</t>
        </is>
      </c>
      <c r="F11" s="10" t="inlineStr">
        <is>
          <t>Orders</t>
        </is>
      </c>
      <c r="G11" s="10" t="inlineStr">
        <is>
          <t>Achievement %</t>
        </is>
      </c>
    </row>
    <row r="12">
      <c r="B12" s="3" t="n">
        <v>46023</v>
      </c>
      <c r="C12" s="11">
        <f>SUMIFS(Calculations!F:F,Calculations!A:A,B12)</f>
        <v/>
      </c>
      <c r="D12" s="11">
        <f>SUMIFS(Calculations!H:H,Calculations!A:A,B12)</f>
        <v/>
      </c>
      <c r="E12" s="11">
        <f>C12-D12</f>
        <v/>
      </c>
      <c r="F12">
        <f>SUMIFS(Calculations!G:G,Calculations!A:A,B12)</f>
        <v/>
      </c>
      <c r="G12" s="4">
        <f>IFERROR(SUMIFS(Calculations!E:E,Calculations!A:A,B12)/SUMIFS(Calculations!D:D,Calculations!A:A,B12),0)</f>
        <v/>
      </c>
    </row>
    <row r="13">
      <c r="B13" s="3" t="n">
        <v>46054</v>
      </c>
      <c r="C13" s="11">
        <f>SUMIFS(Calculations!F:F,Calculations!A:A,B13)</f>
        <v/>
      </c>
      <c r="D13" s="11">
        <f>SUMIFS(Calculations!H:H,Calculations!A:A,B13)</f>
        <v/>
      </c>
      <c r="E13" s="11">
        <f>C13-D13</f>
        <v/>
      </c>
      <c r="F13">
        <f>SUMIFS(Calculations!G:G,Calculations!A:A,B13)</f>
        <v/>
      </c>
      <c r="G13" s="4">
        <f>IFERROR(SUMIFS(Calculations!E:E,Calculations!A:A,B13)/SUMIFS(Calculations!D:D,Calculations!A:A,B13),0)</f>
        <v/>
      </c>
    </row>
    <row r="14">
      <c r="B14" s="3" t="n">
        <v>46082</v>
      </c>
      <c r="C14" s="11">
        <f>SUMIFS(Calculations!F:F,Calculations!A:A,B14)</f>
        <v/>
      </c>
      <c r="D14" s="11">
        <f>SUMIFS(Calculations!H:H,Calculations!A:A,B14)</f>
        <v/>
      </c>
      <c r="E14" s="11">
        <f>C14-D14</f>
        <v/>
      </c>
      <c r="F14">
        <f>SUMIFS(Calculations!G:G,Calculations!A:A,B14)</f>
        <v/>
      </c>
      <c r="G14" s="4">
        <f>IFERROR(SUMIFS(Calculations!E:E,Calculations!A:A,B14)/SUMIFS(Calculations!D:D,Calculations!A:A,B14),0)</f>
        <v/>
      </c>
    </row>
    <row r="15">
      <c r="B15" s="3" t="n">
        <v>46113</v>
      </c>
      <c r="C15" s="11">
        <f>SUMIFS(Calculations!F:F,Calculations!A:A,B15)</f>
        <v/>
      </c>
      <c r="D15" s="11">
        <f>SUMIFS(Calculations!H:H,Calculations!A:A,B15)</f>
        <v/>
      </c>
      <c r="E15" s="11">
        <f>C15-D15</f>
        <v/>
      </c>
      <c r="F15">
        <f>SUMIFS(Calculations!G:G,Calculations!A:A,B15)</f>
        <v/>
      </c>
      <c r="G15" s="4">
        <f>IFERROR(SUMIFS(Calculations!E:E,Calculations!A:A,B15)/SUMIFS(Calculations!D:D,Calculations!A:A,B15),0)</f>
        <v/>
      </c>
    </row>
    <row r="16">
      <c r="B16" s="3" t="n">
        <v>46143</v>
      </c>
      <c r="C16" s="11">
        <f>SUMIFS(Calculations!F:F,Calculations!A:A,B16)</f>
        <v/>
      </c>
      <c r="D16" s="11">
        <f>SUMIFS(Calculations!H:H,Calculations!A:A,B16)</f>
        <v/>
      </c>
      <c r="E16" s="11">
        <f>C16-D16</f>
        <v/>
      </c>
      <c r="F16">
        <f>SUMIFS(Calculations!G:G,Calculations!A:A,B16)</f>
        <v/>
      </c>
      <c r="G16" s="4">
        <f>IFERROR(SUMIFS(Calculations!E:E,Calculations!A:A,B16)/SUMIFS(Calculations!D:D,Calculations!A:A,B16),0)</f>
        <v/>
      </c>
    </row>
    <row r="17">
      <c r="B17" s="3" t="n">
        <v>46174</v>
      </c>
      <c r="C17" s="11">
        <f>SUMIFS(Calculations!F:F,Calculations!A:A,B17)</f>
        <v/>
      </c>
      <c r="D17" s="11">
        <f>SUMIFS(Calculations!H:H,Calculations!A:A,B17)</f>
        <v/>
      </c>
      <c r="E17" s="11">
        <f>C17-D17</f>
        <v/>
      </c>
      <c r="F17">
        <f>SUMIFS(Calculations!G:G,Calculations!A:A,B17)</f>
        <v/>
      </c>
      <c r="G17" s="4">
        <f>IFERROR(SUMIFS(Calculations!E:E,Calculations!A:A,B17)/SUMIFS(Calculations!D:D,Calculations!A:A,B17),0)</f>
        <v/>
      </c>
    </row>
    <row r="18">
      <c r="B18" s="3" t="n">
        <v>46204</v>
      </c>
      <c r="C18" s="11">
        <f>SUMIFS(Calculations!F:F,Calculations!A:A,B18)</f>
        <v/>
      </c>
      <c r="D18" s="11">
        <f>SUMIFS(Calculations!H:H,Calculations!A:A,B18)</f>
        <v/>
      </c>
      <c r="E18" s="11">
        <f>C18-D18</f>
        <v/>
      </c>
      <c r="F18">
        <f>SUMIFS(Calculations!G:G,Calculations!A:A,B18)</f>
        <v/>
      </c>
      <c r="G18" s="4">
        <f>IFERROR(SUMIFS(Calculations!E:E,Calculations!A:A,B18)/SUMIFS(Calculations!D:D,Calculations!A:A,B18),0)</f>
        <v/>
      </c>
    </row>
    <row r="19">
      <c r="B19" s="3" t="n">
        <v>46235</v>
      </c>
      <c r="C19" s="11">
        <f>SUMIFS(Calculations!F:F,Calculations!A:A,B19)</f>
        <v/>
      </c>
      <c r="D19" s="11">
        <f>SUMIFS(Calculations!H:H,Calculations!A:A,B19)</f>
        <v/>
      </c>
      <c r="E19" s="11">
        <f>C19-D19</f>
        <v/>
      </c>
      <c r="F19">
        <f>SUMIFS(Calculations!G:G,Calculations!A:A,B19)</f>
        <v/>
      </c>
      <c r="G19" s="4">
        <f>IFERROR(SUMIFS(Calculations!E:E,Calculations!A:A,B19)/SUMIFS(Calculations!D:D,Calculations!A:A,B19),0)</f>
        <v/>
      </c>
    </row>
    <row r="20">
      <c r="B20" s="3" t="n">
        <v>46266</v>
      </c>
      <c r="C20" s="11">
        <f>SUMIFS(Calculations!F:F,Calculations!A:A,B20)</f>
        <v/>
      </c>
      <c r="D20" s="11">
        <f>SUMIFS(Calculations!H:H,Calculations!A:A,B20)</f>
        <v/>
      </c>
      <c r="E20" s="11">
        <f>C20-D20</f>
        <v/>
      </c>
      <c r="F20">
        <f>SUMIFS(Calculations!G:G,Calculations!A:A,B20)</f>
        <v/>
      </c>
      <c r="G20" s="4">
        <f>IFERROR(SUMIFS(Calculations!E:E,Calculations!A:A,B20)/SUMIFS(Calculations!D:D,Calculations!A:A,B20),0)</f>
        <v/>
      </c>
    </row>
    <row r="22">
      <c r="B22" s="10" t="inlineStr">
        <is>
          <t>Department</t>
        </is>
      </c>
      <c r="C22" s="10" t="inlineStr">
        <is>
          <t>Revenue</t>
        </is>
      </c>
      <c r="D22" s="10" t="inlineStr">
        <is>
          <t>Orders</t>
        </is>
      </c>
      <c r="E22" s="10" t="inlineStr">
        <is>
          <t>Achievement %</t>
        </is>
      </c>
    </row>
    <row r="23">
      <c r="B23" t="inlineStr">
        <is>
          <t>Sales</t>
        </is>
      </c>
      <c r="C23" s="11">
        <f>SUMIFS(Calculations!F:F,Calculations!B:B,B23)</f>
        <v/>
      </c>
      <c r="D23">
        <f>SUMIFS(Calculations!G:G,Calculations!B:B,B23)</f>
        <v/>
      </c>
      <c r="E23" s="4">
        <f>IFERROR(SUMIFS(Calculations!E:E,Calculations!B:B,B23)/SUMIFS(Calculations!D:D,Calculations!B:B,B23),0)</f>
        <v/>
      </c>
    </row>
    <row r="24">
      <c r="B24" t="inlineStr">
        <is>
          <t>Procurement</t>
        </is>
      </c>
      <c r="C24" s="11">
        <f>SUMIFS(Calculations!F:F,Calculations!B:B,B24)</f>
        <v/>
      </c>
      <c r="D24">
        <f>SUMIFS(Calculations!G:G,Calculations!B:B,B24)</f>
        <v/>
      </c>
      <c r="E24" s="4">
        <f>IFERROR(SUMIFS(Calculations!E:E,Calculations!B:B,B24)/SUMIFS(Calculations!D:D,Calculations!B:B,B24),0)</f>
        <v/>
      </c>
    </row>
    <row r="25">
      <c r="B25" t="inlineStr">
        <is>
          <t>Operations</t>
        </is>
      </c>
      <c r="C25" s="11">
        <f>SUMIFS(Calculations!F:F,Calculations!B:B,B25)</f>
        <v/>
      </c>
      <c r="D25">
        <f>SUMIFS(Calculations!G:G,Calculations!B:B,B25)</f>
        <v/>
      </c>
      <c r="E25" s="4">
        <f>IFERROR(SUMIFS(Calculations!E:E,Calculations!B:B,B25)/SUMIFS(Calculations!D:D,Calculations!B:B,B25),0)</f>
        <v/>
      </c>
    </row>
    <row r="26">
      <c r="B26" t="inlineStr">
        <is>
          <t>Service</t>
        </is>
      </c>
      <c r="C26" s="11">
        <f>SUMIFS(Calculations!F:F,Calculations!B:B,B26)</f>
        <v/>
      </c>
      <c r="D26">
        <f>SUMIFS(Calculations!G:G,Calculations!B:B,B26)</f>
        <v/>
      </c>
      <c r="E26" s="4">
        <f>IFERROR(SUMIFS(Calculations!E:E,Calculations!B:B,B26)/SUMIFS(Calculations!D:D,Calculations!B:B,B26),0)</f>
        <v/>
      </c>
    </row>
    <row r="28">
      <c r="B28" s="12" t="inlineStr">
        <is>
          <t>Excel Skills Demonstrated</t>
        </is>
      </c>
    </row>
    <row r="29">
      <c r="B29" t="inlineStr">
        <is>
          <t>• Data organization and cleaning</t>
        </is>
      </c>
    </row>
    <row r="30">
      <c r="B30" t="inlineStr">
        <is>
          <t>• IF / IFERROR formulas</t>
        </is>
      </c>
    </row>
    <row r="31">
      <c r="B31" t="inlineStr">
        <is>
          <t>• SUMIFS calculations</t>
        </is>
      </c>
    </row>
    <row r="32">
      <c r="B32" t="inlineStr">
        <is>
          <t>• KPI reporting</t>
        </is>
      </c>
    </row>
    <row r="33">
      <c r="B33" t="inlineStr">
        <is>
          <t>• Monthly trend analysis</t>
        </is>
      </c>
    </row>
    <row r="34">
      <c r="B34" t="inlineStr">
        <is>
          <t>• Dashboard design</t>
        </is>
      </c>
    </row>
    <row r="35">
      <c r="B35" t="inlineStr">
        <is>
          <t>• Charts and business reporting</t>
        </is>
      </c>
    </row>
  </sheetData>
  <mergeCells count="13">
    <mergeCell ref="D8:E8"/>
    <mergeCell ref="F4:G4"/>
    <mergeCell ref="D7:E7"/>
    <mergeCell ref="B7:C7"/>
    <mergeCell ref="B5:C5"/>
    <mergeCell ref="F5:G5"/>
    <mergeCell ref="D5:E5"/>
    <mergeCell ref="B2:H2"/>
    <mergeCell ref="D4:E4"/>
    <mergeCell ref="B8:C8"/>
    <mergeCell ref="B4:C4"/>
    <mergeCell ref="F7:G7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0" t="inlineStr">
        <is>
          <t>Monthly MIS Dashboard – Excel Portfolio Project</t>
        </is>
      </c>
      <c r="B1" s="10" t="n"/>
    </row>
    <row r="2">
      <c r="A2" t="inlineStr">
        <is>
          <t>Objective</t>
        </is>
      </c>
      <c r="B2" t="inlineStr">
        <is>
          <t>Analyze monthly business performance using Excel.</t>
        </is>
      </c>
    </row>
    <row r="3">
      <c r="A3" t="inlineStr">
        <is>
          <t>Sheets</t>
        </is>
      </c>
      <c r="B3" t="inlineStr">
        <is>
          <t>Raw Data, Calculations, Dashboard, Project Guide</t>
        </is>
      </c>
    </row>
    <row r="4">
      <c r="A4" t="inlineStr">
        <is>
          <t>Main KPIs</t>
        </is>
      </c>
      <c r="B4" t="inlineStr">
        <is>
          <t>Revenue, Orders, Target Achievement, Expenses, Profit, Profit Margin</t>
        </is>
      </c>
    </row>
    <row r="5">
      <c r="A5" t="inlineStr">
        <is>
          <t>Excel Skills</t>
        </is>
      </c>
      <c r="B5" t="inlineStr">
        <is>
          <t>SUMIFS, IF, IFERROR, Pivot-style analysis, Charts, KPI reporting</t>
        </is>
      </c>
    </row>
    <row r="6">
      <c r="A6" t="inlineStr">
        <is>
          <t>Note</t>
        </is>
      </c>
      <c r="B6" t="inlineStr">
        <is>
          <t>Dataset is fictional and created for portfolio/learning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2026-10-08T18:33:14Z</dcterms:created>
  <dcterms:modified xmlns:dcterms="http://purl.org/dc/terms/" xmlns:xsi="http://www.w3.org/2001/XMLSchema-instance" xsi:type="dcterms:W3CDTF">2026-10-08T18:33:14Z</dcterms:modified>
</cp:coreProperties>
</file>